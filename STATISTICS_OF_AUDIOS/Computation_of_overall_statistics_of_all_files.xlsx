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"/>
    </mc:Choice>
  </mc:AlternateContent>
  <xr:revisionPtr revIDLastSave="0" documentId="13_ncr:1_{7C4AB15B-0684-4390-BEAB-F154C9D720EB}" xr6:coauthVersionLast="47" xr6:coauthVersionMax="47" xr10:uidLastSave="{00000000-0000-0000-0000-000000000000}"/>
  <bookViews>
    <workbookView xWindow="-120" yWindow="-120" windowWidth="20730" windowHeight="11160" xr2:uid="{339EB8E4-A4F5-4CC0-B343-A20CD378403E}"/>
  </bookViews>
  <sheets>
    <sheet name="ALL_STAT_ALL_INST" sheetId="1" r:id="rId1"/>
    <sheet name="ALL_STAT_PER_INST_TOTAL_EACH" sheetId="2" r:id="rId2"/>
    <sheet name="Texts_Info" sheetId="3" r:id="rId3"/>
    <sheet name="GEN_PER_INST_INFO" sheetId="5" r:id="rId4"/>
    <sheet name="PH_PER_INST_INFO" sheetId="6" r:id="rId5"/>
    <sheet name="Audio_Info" sheetId="4" r:id="rId6"/>
    <sheet name="CMIN_S_G&amp;PH" sheetId="8" r:id="rId7"/>
    <sheet name="CMAX_S_G&amp;PH" sheetId="10" r:id="rId8"/>
    <sheet name="CMIN_T_G&amp;PH" sheetId="9" r:id="rId9"/>
    <sheet name="CMAX_T_G&amp;PH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29" i="11" l="1"/>
  <c r="CZ30" i="11"/>
  <c r="CZ31" i="11"/>
  <c r="CZ32" i="11"/>
  <c r="CZ33" i="11"/>
  <c r="CZ34" i="11"/>
  <c r="CZ35" i="11"/>
  <c r="CZ36" i="11"/>
  <c r="CZ38" i="11"/>
  <c r="CZ5" i="11"/>
  <c r="CZ6" i="11"/>
  <c r="CZ7" i="11"/>
  <c r="CZ8" i="11"/>
  <c r="CZ9" i="11"/>
  <c r="CZ10" i="11"/>
  <c r="CZ11" i="11"/>
  <c r="CZ12" i="11"/>
  <c r="CZ36" i="9"/>
  <c r="CZ27" i="9"/>
  <c r="CZ28" i="9"/>
  <c r="CZ29" i="9"/>
  <c r="CZ30" i="9"/>
  <c r="CZ31" i="9"/>
  <c r="CZ32" i="9"/>
  <c r="CZ33" i="9"/>
  <c r="CZ34" i="9"/>
  <c r="CZ5" i="9"/>
  <c r="CZ6" i="9"/>
  <c r="CZ7" i="9"/>
  <c r="CZ8" i="9"/>
  <c r="CZ9" i="9"/>
  <c r="CZ10" i="9"/>
  <c r="CZ11" i="9"/>
  <c r="CZ12" i="9"/>
  <c r="CZ34" i="10"/>
  <c r="CZ25" i="10"/>
  <c r="CZ26" i="10"/>
  <c r="CZ27" i="10"/>
  <c r="CZ28" i="10"/>
  <c r="CZ29" i="10"/>
  <c r="CZ30" i="10"/>
  <c r="CZ31" i="10"/>
  <c r="CZ32" i="10"/>
  <c r="CZ13" i="10"/>
  <c r="CZ4" i="10"/>
  <c r="CZ5" i="10"/>
  <c r="CZ6" i="10"/>
  <c r="CZ7" i="10"/>
  <c r="CZ8" i="10"/>
  <c r="CZ9" i="10"/>
  <c r="CZ10" i="10"/>
  <c r="CZ11" i="10"/>
  <c r="CZ30" i="8"/>
  <c r="CZ21" i="8"/>
  <c r="CZ22" i="8"/>
  <c r="CZ23" i="8"/>
  <c r="CZ24" i="8"/>
  <c r="CZ25" i="8"/>
  <c r="CZ26" i="8"/>
  <c r="CZ27" i="8"/>
  <c r="CZ28" i="8"/>
  <c r="CZ13" i="8"/>
  <c r="CZ4" i="8"/>
  <c r="CZ5" i="8"/>
  <c r="CZ6" i="8"/>
  <c r="CZ7" i="8"/>
  <c r="CZ8" i="8"/>
  <c r="CZ9" i="8"/>
  <c r="CZ10" i="8"/>
  <c r="CZ11" i="8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CZ15" i="8"/>
  <c r="CZ39" i="11"/>
  <c r="CZ40" i="11"/>
  <c r="CZ15" i="11"/>
  <c r="CZ16" i="11"/>
  <c r="CZ17" i="11"/>
  <c r="CZ18" i="11"/>
  <c r="CZ19" i="11"/>
  <c r="CZ20" i="11"/>
  <c r="CZ21" i="11"/>
  <c r="CZ22" i="11"/>
  <c r="CZ23" i="11"/>
  <c r="CZ24" i="11"/>
  <c r="CZ25" i="11"/>
  <c r="CZ26" i="11"/>
  <c r="CZ27" i="11"/>
  <c r="CZ28" i="11"/>
  <c r="CZ4" i="11"/>
  <c r="CZ14" i="11" s="1"/>
  <c r="CZ15" i="9"/>
  <c r="CZ16" i="9"/>
  <c r="CZ17" i="9"/>
  <c r="CZ18" i="9"/>
  <c r="CZ19" i="9"/>
  <c r="CZ20" i="9"/>
  <c r="CZ21" i="9"/>
  <c r="CZ22" i="9"/>
  <c r="CZ23" i="9"/>
  <c r="CZ24" i="9"/>
  <c r="CZ25" i="9"/>
  <c r="CZ26" i="9"/>
  <c r="CZ4" i="9"/>
  <c r="CZ14" i="9" s="1"/>
  <c r="CZ14" i="10"/>
  <c r="CZ15" i="10"/>
  <c r="CZ16" i="10"/>
  <c r="CZ17" i="10"/>
  <c r="CZ18" i="10"/>
  <c r="CZ19" i="10"/>
  <c r="CZ20" i="10"/>
  <c r="CZ21" i="10"/>
  <c r="CZ22" i="10"/>
  <c r="CZ23" i="10"/>
  <c r="CZ24" i="10"/>
  <c r="CZ3" i="10"/>
  <c r="CZ16" i="8"/>
  <c r="CZ17" i="8"/>
  <c r="CZ18" i="8"/>
  <c r="CZ19" i="8"/>
  <c r="CZ20" i="8"/>
  <c r="CZ31" i="8"/>
  <c r="CZ32" i="8"/>
  <c r="CZ33" i="8"/>
  <c r="CZ34" i="8"/>
  <c r="CZ35" i="8"/>
  <c r="CZ36" i="8"/>
  <c r="CZ3" i="8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4" i="6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4" i="5"/>
</calcChain>
</file>

<file path=xl/sharedStrings.xml><?xml version="1.0" encoding="utf-8"?>
<sst xmlns="http://schemas.openxmlformats.org/spreadsheetml/2006/main" count="444" uniqueCount="96">
  <si>
    <t>num_audios_src</t>
  </si>
  <si>
    <t>num_audios_tgt</t>
  </si>
  <si>
    <t>total_num_audios (src+tgt)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</si>
  <si>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</si>
  <si>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</si>
  <si>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</si>
  <si>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</si>
  <si>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</si>
  <si>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</si>
  <si>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</si>
  <si>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</si>
  <si>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</si>
  <si>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num_words_src</t>
  </si>
  <si>
    <t>number_unique_words_src</t>
  </si>
  <si>
    <t>minimum_len_word_src</t>
  </si>
  <si>
    <t>maxmum_len_word_src</t>
  </si>
  <si>
    <t>num_words_tgt</t>
  </si>
  <si>
    <t>num_unique_words_tgt</t>
  </si>
  <si>
    <t>minimum_len_word_tgt</t>
  </si>
  <si>
    <t>maxmum_len_word_tgt</t>
  </si>
  <si>
    <t>num_of_characters_src</t>
  </si>
  <si>
    <t>num_of_characters_tgt</t>
  </si>
  <si>
    <t>num_lines_of_text_src</t>
  </si>
  <si>
    <t>num_lines_of_text_tgt</t>
  </si>
  <si>
    <t>num_lines_of_text_total (src + tgt)</t>
  </si>
  <si>
    <t>UNILAG_GENERAL</t>
  </si>
  <si>
    <t>UNILAG_PUBLIC_HEALTH</t>
  </si>
  <si>
    <t>no_of_males</t>
  </si>
  <si>
    <t>no_of_females</t>
  </si>
  <si>
    <t>no_speakers</t>
  </si>
  <si>
    <t>FUNAAB_GENERAL</t>
  </si>
  <si>
    <t>FUNAAB_PUBLIC_HEALTH</t>
  </si>
  <si>
    <t>LASU_GENERAL</t>
  </si>
  <si>
    <t>LASU_PUBLIC_HEALTH</t>
  </si>
  <si>
    <t>UI_1_GENERAL</t>
  </si>
  <si>
    <t>UI_1_PUBLIC_HEALTH</t>
  </si>
  <si>
    <t>UI_2_GENERAL</t>
  </si>
  <si>
    <t>UI_2_PUBLIC_HEALTH</t>
  </si>
  <si>
    <t>UI_3_GENERAL</t>
  </si>
  <si>
    <t>UI_3_PUBLIC_HEALTH</t>
  </si>
  <si>
    <t>UI_4_GENERAL</t>
  </si>
  <si>
    <t>UI_4_PUBLIC_HEALTH</t>
  </si>
  <si>
    <t>UI_5_GENERAL</t>
  </si>
  <si>
    <t>UI_5_PUBLIC_HEALTH</t>
  </si>
  <si>
    <t>Total_UNILAG</t>
  </si>
  <si>
    <t>Total_FUNAAB</t>
  </si>
  <si>
    <t>Total_LASU</t>
  </si>
  <si>
    <t>Total_UI_1</t>
  </si>
  <si>
    <t>Total_UI_2</t>
  </si>
  <si>
    <t>Total_UI_3</t>
  </si>
  <si>
    <t>Total_UI_4</t>
  </si>
  <si>
    <t>Total_UI_5</t>
  </si>
  <si>
    <t>Total_All</t>
  </si>
  <si>
    <t>Text Info</t>
  </si>
  <si>
    <t>Nill</t>
  </si>
  <si>
    <t>Total_all_General_English (src)</t>
  </si>
  <si>
    <t>Total_all_General_Yoruba (tgt)</t>
  </si>
  <si>
    <t>Total_all_Public_Health_English (src)</t>
  </si>
  <si>
    <t>Total_all_Public_Health_Yoruba (tgt)</t>
  </si>
  <si>
    <t>Audio Info</t>
  </si>
  <si>
    <t>no_of_multiple_speakers</t>
  </si>
  <si>
    <t>Total</t>
  </si>
  <si>
    <t>This contains info of all instituition Public Health for both languages</t>
  </si>
  <si>
    <t>This contains info of all instituition General for both languages</t>
  </si>
  <si>
    <t>UNILAG</t>
  </si>
  <si>
    <t>ALL maximum length of audios per instaitutions for source</t>
  </si>
  <si>
    <t>ALL minimum length of audios per instaitutions for target</t>
  </si>
  <si>
    <t>ALL maximum length of audios per instaitutions for target</t>
  </si>
  <si>
    <t>General</t>
  </si>
  <si>
    <t>cc</t>
  </si>
  <si>
    <t>Public Health</t>
  </si>
  <si>
    <t>ccccc</t>
  </si>
  <si>
    <t>cccccc</t>
  </si>
  <si>
    <t>ccccccc</t>
  </si>
  <si>
    <t>Arrangements</t>
  </si>
  <si>
    <t>FUNAAB</t>
  </si>
  <si>
    <t>LASU</t>
  </si>
  <si>
    <t>UI_1</t>
  </si>
  <si>
    <t>UI_2</t>
  </si>
  <si>
    <t>UI_3</t>
  </si>
  <si>
    <t>UI_5 (UI_BATCH2_2)</t>
  </si>
  <si>
    <t>UI_4 (UI_BATCH2_1)</t>
  </si>
  <si>
    <t>ALL mininum length of audios per institutions for source</t>
  </si>
  <si>
    <t xml:space="preserve">Compute minimum </t>
  </si>
  <si>
    <t xml:space="preserve">Compute maximum </t>
  </si>
  <si>
    <t>Institutions</t>
  </si>
  <si>
    <t>UI_6</t>
  </si>
  <si>
    <t>UI_6_GENERAL</t>
  </si>
  <si>
    <t>UI_6_PUBLIC_HEALTH</t>
  </si>
  <si>
    <t xml:space="preserve">Note: This computation was from FUNAAB TILL UI_5 </t>
  </si>
  <si>
    <t>Note: This computation was from FUNAAB TILL UI_5</t>
  </si>
  <si>
    <t>Total_UI_6</t>
  </si>
  <si>
    <t>Total_UI_7</t>
  </si>
  <si>
    <t>UI_7_GENERAL</t>
  </si>
  <si>
    <t>UI_7_PUBLIC_HEALTH</t>
  </si>
  <si>
    <t>UI_7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</si>
</sst>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Arial Unicode MS"/>
      <family val="2"/>
    </font>
    <font>
      <sz val="11"/>
      <color rgb="FF000000"/>
      <name val="Aptos Narrow"/>
      <family val="2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/>
    <xf numFmtId="0" fontId="14" fillId="0" borderId="0" xfId="0" applyFont="1" applyAlignment="1">
      <alignment horizontal="center"/>
    </xf>
    <xf numFmtId="0" fontId="8" fillId="2" borderId="0" xfId="0" applyFont="1" applyFill="1"/>
    <xf numFmtId="0" fontId="0" fillId="2" borderId="0" xfId="0" applyFill="1"/>
    <xf numFmtId="4" fontId="12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0413-D68A-4C75-A323-A78E1C06105B}">
  <dimension ref="A2:V31"/>
  <sheetViews>
    <sheetView tabSelected="1" topLeftCell="O1" workbookViewId="0">
      <selection activeCell="T12" sqref="T12"/>
    </sheetView>
  </sheetViews>
  <sheetFormatPr defaultRowHeight="12.75" x14ac:dyDescent="0.2"/>
  <cols>
    <col min="1" max="1" width="29.7109375" style="4" customWidth="1"/>
    <col min="2" max="2" width="20" style="4" customWidth="1"/>
    <col min="3" max="3" width="23.85546875" style="4" customWidth="1"/>
    <col min="4" max="4" width="17.85546875" style="4" customWidth="1"/>
    <col min="5" max="5" width="22.5703125" style="4" customWidth="1"/>
    <col min="6" max="6" width="17.85546875" style="4" customWidth="1"/>
    <col min="7" max="7" width="22.28515625" style="4" customWidth="1"/>
    <col min="8" max="8" width="14.5703125" style="4" customWidth="1"/>
    <col min="9" max="9" width="20.85546875" style="4" customWidth="1"/>
    <col min="10" max="10" width="14.5703125" style="4" customWidth="1"/>
    <col min="11" max="11" width="21.7109375" style="4" customWidth="1"/>
    <col min="12" max="12" width="15.140625" style="4" customWidth="1"/>
    <col min="13" max="13" width="20.5703125" style="4" customWidth="1"/>
    <col min="14" max="14" width="14.140625" style="4" customWidth="1"/>
    <col min="15" max="15" width="20.140625" style="4" customWidth="1"/>
    <col min="16" max="16" width="14.42578125" style="4" customWidth="1"/>
    <col min="17" max="20" width="20.85546875" style="4" customWidth="1"/>
    <col min="21" max="21" width="27" style="4" customWidth="1"/>
    <col min="22" max="22" width="17.5703125" style="4" customWidth="1"/>
    <col min="23" max="16384" width="9.140625" style="4"/>
  </cols>
  <sheetData>
    <row r="2" spans="1:22" x14ac:dyDescent="0.2">
      <c r="B2" s="5" t="s">
        <v>25</v>
      </c>
      <c r="C2" s="5" t="s">
        <v>26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 t="s">
        <v>42</v>
      </c>
      <c r="Q2" s="5" t="s">
        <v>43</v>
      </c>
      <c r="R2" s="5" t="s">
        <v>87</v>
      </c>
      <c r="S2" s="5" t="s">
        <v>88</v>
      </c>
      <c r="T2" s="5" t="s">
        <v>93</v>
      </c>
      <c r="U2" s="5" t="s">
        <v>94</v>
      </c>
      <c r="V2" s="5" t="s">
        <v>52</v>
      </c>
    </row>
    <row r="3" spans="1:22" ht="15" x14ac:dyDescent="0.2">
      <c r="A3" s="4" t="s">
        <v>0</v>
      </c>
      <c r="B3" s="6">
        <v>2103</v>
      </c>
      <c r="C3" s="6">
        <v>2150</v>
      </c>
      <c r="D3" s="6">
        <v>4980</v>
      </c>
      <c r="E3" s="6">
        <v>3973</v>
      </c>
      <c r="F3" s="6">
        <v>788</v>
      </c>
      <c r="G3" s="6">
        <v>193</v>
      </c>
      <c r="H3" s="6">
        <v>6704</v>
      </c>
      <c r="I3" s="6">
        <v>9841</v>
      </c>
      <c r="J3" s="2">
        <v>7750</v>
      </c>
      <c r="K3" s="2">
        <v>11339</v>
      </c>
      <c r="L3" s="6">
        <v>597</v>
      </c>
      <c r="M3" s="6">
        <v>19073</v>
      </c>
      <c r="N3" s="6">
        <v>12151</v>
      </c>
      <c r="O3" s="6">
        <v>9374</v>
      </c>
      <c r="P3" s="2">
        <v>399</v>
      </c>
      <c r="Q3" s="2">
        <v>12352</v>
      </c>
      <c r="R3" s="2">
        <v>6185</v>
      </c>
      <c r="S3" s="2">
        <v>6785</v>
      </c>
      <c r="T3" s="2"/>
      <c r="V3" s="4">
        <f>SUM(B3:U3)</f>
        <v>116737</v>
      </c>
    </row>
    <row r="4" spans="1:22" ht="15" x14ac:dyDescent="0.2">
      <c r="A4" s="4" t="s">
        <v>1</v>
      </c>
      <c r="B4" s="6">
        <v>2103</v>
      </c>
      <c r="C4" s="6">
        <v>2150</v>
      </c>
      <c r="D4" s="6">
        <v>4980</v>
      </c>
      <c r="E4" s="6">
        <v>3973</v>
      </c>
      <c r="F4" s="6">
        <v>788</v>
      </c>
      <c r="G4" s="6">
        <v>193</v>
      </c>
      <c r="H4" s="6">
        <v>6704</v>
      </c>
      <c r="I4" s="6">
        <v>9841</v>
      </c>
      <c r="J4" s="2">
        <v>7750</v>
      </c>
      <c r="K4" s="2">
        <v>11339</v>
      </c>
      <c r="L4" s="6">
        <v>597</v>
      </c>
      <c r="M4" s="6">
        <v>19073</v>
      </c>
      <c r="N4" s="6">
        <v>12151</v>
      </c>
      <c r="O4" s="6">
        <v>9374</v>
      </c>
      <c r="P4" s="2">
        <v>399</v>
      </c>
      <c r="Q4" s="2">
        <v>12352</v>
      </c>
      <c r="R4" s="2">
        <v>6185</v>
      </c>
      <c r="S4" s="2">
        <v>6785</v>
      </c>
      <c r="T4" s="2"/>
      <c r="V4" s="4">
        <f t="shared" ref="V4:V31" si="0">SUM(B4:U4)</f>
        <v>116737</v>
      </c>
    </row>
    <row r="5" spans="1:22" ht="15" x14ac:dyDescent="0.2">
      <c r="A5" s="4" t="s">
        <v>2</v>
      </c>
      <c r="B5" s="6">
        <v>4206</v>
      </c>
      <c r="C5" s="6">
        <v>4300</v>
      </c>
      <c r="D5" s="6">
        <v>9960</v>
      </c>
      <c r="E5" s="6">
        <v>7946</v>
      </c>
      <c r="F5" s="6">
        <v>1576</v>
      </c>
      <c r="G5" s="6">
        <v>386</v>
      </c>
      <c r="H5" s="6">
        <v>13408</v>
      </c>
      <c r="I5" s="6">
        <v>19682</v>
      </c>
      <c r="J5" s="2">
        <v>15500</v>
      </c>
      <c r="K5" s="2">
        <v>22678</v>
      </c>
      <c r="L5" s="6">
        <v>1194</v>
      </c>
      <c r="M5" s="6">
        <v>38146</v>
      </c>
      <c r="N5" s="6">
        <v>24302</v>
      </c>
      <c r="O5" s="6">
        <v>18748</v>
      </c>
      <c r="P5" s="2">
        <v>798</v>
      </c>
      <c r="Q5" s="2">
        <v>24704</v>
      </c>
      <c r="R5" s="2">
        <v>12370</v>
      </c>
      <c r="S5" s="2">
        <v>13570</v>
      </c>
      <c r="T5" s="2"/>
      <c r="V5" s="4">
        <f t="shared" si="0"/>
        <v>233474</v>
      </c>
    </row>
    <row r="6" spans="1:22" ht="15" x14ac:dyDescent="0.2">
      <c r="A6" s="4" t="s">
        <v>3</v>
      </c>
      <c r="B6" s="6">
        <v>16.219139999999999</v>
      </c>
      <c r="C6" s="6">
        <v>31.948340000000002</v>
      </c>
      <c r="D6" s="6">
        <v>62.380989999999997</v>
      </c>
      <c r="E6" s="6">
        <v>58.171790000000001</v>
      </c>
      <c r="F6" s="6">
        <v>10.325329999999999</v>
      </c>
      <c r="G6" s="6">
        <v>3.4986670000000002</v>
      </c>
      <c r="H6" s="6">
        <v>65.213250000000002</v>
      </c>
      <c r="I6" s="6">
        <v>114.03319999999999</v>
      </c>
      <c r="J6" s="2">
        <v>61.777270000000001</v>
      </c>
      <c r="K6" s="2">
        <v>144.65389999999999</v>
      </c>
      <c r="L6" s="6">
        <v>5.5466670000000002</v>
      </c>
      <c r="M6" s="6">
        <v>229.8433</v>
      </c>
      <c r="N6" s="6">
        <v>146.6463</v>
      </c>
      <c r="O6" s="6">
        <v>129.830187</v>
      </c>
      <c r="P6" s="2">
        <v>3.5840000000000001</v>
      </c>
      <c r="Q6" s="2">
        <v>167.61730700000001</v>
      </c>
      <c r="R6" s="2">
        <v>63.53734</v>
      </c>
      <c r="S6" s="2">
        <v>91.645094999999998</v>
      </c>
      <c r="T6" s="2"/>
      <c r="V6" s="4">
        <f t="shared" si="0"/>
        <v>1406.4720730000001</v>
      </c>
    </row>
    <row r="7" spans="1:22" ht="15" x14ac:dyDescent="0.2">
      <c r="A7" s="4" t="s">
        <v>4</v>
      </c>
      <c r="B7" s="6">
        <v>106.46639999999999</v>
      </c>
      <c r="C7" s="6">
        <v>301.84840000000003</v>
      </c>
      <c r="D7" s="6">
        <v>641.33979999999997</v>
      </c>
      <c r="E7" s="6">
        <v>508.98430000000002</v>
      </c>
      <c r="F7" s="6">
        <v>78.421329999999998</v>
      </c>
      <c r="G7" s="6">
        <v>29.696000000000002</v>
      </c>
      <c r="H7" s="6">
        <v>488.29880000000003</v>
      </c>
      <c r="I7" s="6">
        <v>1096.7280000000001</v>
      </c>
      <c r="J7" s="2">
        <v>283.16789999999997</v>
      </c>
      <c r="K7" s="2">
        <v>1132.21</v>
      </c>
      <c r="L7" s="6">
        <v>17.49333</v>
      </c>
      <c r="M7" s="6">
        <v>1799.774036</v>
      </c>
      <c r="N7" s="6">
        <v>1253.123</v>
      </c>
      <c r="O7" s="6">
        <v>995.94710399999997</v>
      </c>
      <c r="P7" s="2">
        <v>35.157330000000002</v>
      </c>
      <c r="Q7" s="2">
        <v>1361.45676</v>
      </c>
      <c r="R7" s="2">
        <v>418.10079999999999</v>
      </c>
      <c r="S7" s="2">
        <v>783.05640000000005</v>
      </c>
      <c r="T7" s="2"/>
      <c r="V7" s="4">
        <f t="shared" si="0"/>
        <v>11331.269689999999</v>
      </c>
    </row>
    <row r="8" spans="1:22" ht="15" x14ac:dyDescent="0.2">
      <c r="A8" s="5" t="s">
        <v>5</v>
      </c>
      <c r="B8" s="6">
        <v>42.010289999999998</v>
      </c>
      <c r="C8" s="6">
        <v>107.43770000000001</v>
      </c>
      <c r="D8" s="6">
        <v>203.69370000000001</v>
      </c>
      <c r="E8" s="6">
        <v>192.81290000000001</v>
      </c>
      <c r="F8" s="6">
        <v>32.217599999999997</v>
      </c>
      <c r="G8" s="6">
        <v>11.7928</v>
      </c>
      <c r="H8" s="6">
        <v>192.69720000000001</v>
      </c>
      <c r="I8" s="6">
        <v>387.34269999999998</v>
      </c>
      <c r="J8" s="2">
        <v>115.5757</v>
      </c>
      <c r="K8" s="2">
        <v>469.63409999999999</v>
      </c>
      <c r="L8" s="6">
        <v>9.0982289999999999</v>
      </c>
      <c r="M8" s="6">
        <v>712.58815500000003</v>
      </c>
      <c r="N8" s="6">
        <v>490.46109999999999</v>
      </c>
      <c r="O8" s="6">
        <v>391.94032399999998</v>
      </c>
      <c r="P8" s="2">
        <v>12.82273</v>
      </c>
      <c r="Q8" s="2">
        <v>516.24945500000001</v>
      </c>
      <c r="R8" s="2">
        <v>194.91890000000001</v>
      </c>
      <c r="S8" s="2">
        <v>296.806669</v>
      </c>
      <c r="T8" s="2"/>
      <c r="V8" s="4">
        <f t="shared" si="0"/>
        <v>4380.1002520000002</v>
      </c>
    </row>
    <row r="9" spans="1:22" ht="15" x14ac:dyDescent="0.2">
      <c r="A9" s="4" t="s">
        <v>6</v>
      </c>
      <c r="B9" s="6">
        <v>18.897559999999999</v>
      </c>
      <c r="C9" s="6">
        <v>32.375</v>
      </c>
      <c r="D9" s="6">
        <v>62.904020000000003</v>
      </c>
      <c r="E9" s="6">
        <v>53.526060000000001</v>
      </c>
      <c r="F9" s="6">
        <v>11.434670000000001</v>
      </c>
      <c r="G9" s="6">
        <v>3.4133330000000002</v>
      </c>
      <c r="H9" s="6">
        <v>75.66919</v>
      </c>
      <c r="I9" s="6">
        <v>118.4665</v>
      </c>
      <c r="J9" s="2">
        <v>65.220789999999994</v>
      </c>
      <c r="K9" s="2">
        <v>145.68549999999999</v>
      </c>
      <c r="L9" s="6">
        <v>5.290667</v>
      </c>
      <c r="M9" s="6">
        <v>242.816292</v>
      </c>
      <c r="N9" s="6">
        <v>149.66669999999999</v>
      </c>
      <c r="O9" s="6">
        <v>134.77036000000001</v>
      </c>
      <c r="P9" s="2">
        <v>4.2666659999999998</v>
      </c>
      <c r="Q9" s="2">
        <v>177.15722099999999</v>
      </c>
      <c r="R9" s="2">
        <v>65.720600000000005</v>
      </c>
      <c r="S9" s="2">
        <v>100.864001</v>
      </c>
      <c r="T9" s="2"/>
      <c r="V9" s="4">
        <f t="shared" si="0"/>
        <v>1468.1451299999999</v>
      </c>
    </row>
    <row r="10" spans="1:22" ht="15" x14ac:dyDescent="0.2">
      <c r="A10" s="4" t="s">
        <v>7</v>
      </c>
      <c r="B10" s="6">
        <v>112.8943</v>
      </c>
      <c r="C10" s="6">
        <v>289.68869999999998</v>
      </c>
      <c r="D10" s="6">
        <v>669.86090000000002</v>
      </c>
      <c r="E10" s="6">
        <v>573.41679999999997</v>
      </c>
      <c r="F10" s="6">
        <v>101.20529999999999</v>
      </c>
      <c r="G10" s="6">
        <v>29.610669999999999</v>
      </c>
      <c r="H10" s="6">
        <v>553.71230000000003</v>
      </c>
      <c r="I10" s="6">
        <v>1188.5740000000001</v>
      </c>
      <c r="J10" s="2">
        <v>261.488</v>
      </c>
      <c r="K10" s="2">
        <v>1279.299</v>
      </c>
      <c r="L10" s="6">
        <v>19.2</v>
      </c>
      <c r="M10" s="6">
        <v>2183.7258590000001</v>
      </c>
      <c r="N10" s="6">
        <v>1778.123</v>
      </c>
      <c r="O10" s="6">
        <v>1255.446929</v>
      </c>
      <c r="P10" s="2">
        <v>50.517330000000001</v>
      </c>
      <c r="Q10" s="2">
        <v>1819.481978</v>
      </c>
      <c r="R10" s="2">
        <v>586.01589999999999</v>
      </c>
      <c r="S10" s="2">
        <v>970.19065799999998</v>
      </c>
      <c r="T10" s="2"/>
      <c r="V10" s="4">
        <f t="shared" si="0"/>
        <v>13722.451623999999</v>
      </c>
    </row>
    <row r="11" spans="1:22" ht="15" x14ac:dyDescent="0.2">
      <c r="A11" s="5" t="s">
        <v>8</v>
      </c>
      <c r="B11" s="6">
        <v>43.630890000000001</v>
      </c>
      <c r="C11" s="6">
        <v>106.97329999999999</v>
      </c>
      <c r="D11" s="6">
        <v>227.5102</v>
      </c>
      <c r="E11" s="6">
        <v>220.94820000000001</v>
      </c>
      <c r="F11" s="6">
        <v>38.472529999999999</v>
      </c>
      <c r="G11" s="6">
        <v>13.210750000000001</v>
      </c>
      <c r="H11" s="6">
        <v>211.51580000000001</v>
      </c>
      <c r="I11" s="6">
        <v>435.35129999999998</v>
      </c>
      <c r="J11" s="2">
        <v>117.5393</v>
      </c>
      <c r="K11" s="2">
        <v>533.95339999999999</v>
      </c>
      <c r="L11" s="6">
        <v>9.1790570000000002</v>
      </c>
      <c r="M11" s="6">
        <v>854.08401700000002</v>
      </c>
      <c r="N11" s="6">
        <v>616.49009999999998</v>
      </c>
      <c r="O11" s="6">
        <v>463.70186699999999</v>
      </c>
      <c r="P11" s="2">
        <v>17.327300000000001</v>
      </c>
      <c r="Q11" s="2">
        <v>621.74854100000005</v>
      </c>
      <c r="R11" s="2">
        <v>245.1097</v>
      </c>
      <c r="S11" s="2">
        <v>362.116174</v>
      </c>
      <c r="T11" s="2"/>
      <c r="V11" s="4">
        <f t="shared" si="0"/>
        <v>5138.8624259999997</v>
      </c>
    </row>
    <row r="12" spans="1:22" ht="15" x14ac:dyDescent="0.2">
      <c r="A12" s="4" t="s">
        <v>9</v>
      </c>
      <c r="B12" s="6">
        <v>7988.4960000000001</v>
      </c>
      <c r="C12" s="6">
        <v>20973.25</v>
      </c>
      <c r="D12" s="6">
        <v>40588.44</v>
      </c>
      <c r="E12" s="6">
        <v>38242.85</v>
      </c>
      <c r="F12" s="6">
        <v>6357.6750000000002</v>
      </c>
      <c r="G12" s="6">
        <v>2276.011</v>
      </c>
      <c r="H12" s="6">
        <v>38018.339999999997</v>
      </c>
      <c r="I12" s="6">
        <v>76222.53</v>
      </c>
      <c r="J12" s="2">
        <v>22965.87</v>
      </c>
      <c r="K12" s="2">
        <v>89483.75</v>
      </c>
      <c r="L12" s="6">
        <v>1810.347</v>
      </c>
      <c r="M12" s="6">
        <v>141540.42689999999</v>
      </c>
      <c r="N12" s="6">
        <v>97684.28</v>
      </c>
      <c r="O12" s="6">
        <v>78183.656350000005</v>
      </c>
      <c r="P12" s="2">
        <v>2557.1840000000002</v>
      </c>
      <c r="Q12" s="2">
        <v>102862.32610000001</v>
      </c>
      <c r="R12" s="2">
        <v>38892.61</v>
      </c>
      <c r="S12" s="2">
        <v>59229.202579999997</v>
      </c>
      <c r="T12" s="2"/>
      <c r="V12" s="4">
        <f t="shared" si="0"/>
        <v>865877.24493000016</v>
      </c>
    </row>
    <row r="13" spans="1:22" ht="15" x14ac:dyDescent="0.2">
      <c r="A13" s="4" t="s">
        <v>10</v>
      </c>
      <c r="B13" s="6">
        <v>8252.5190000000002</v>
      </c>
      <c r="C13" s="6">
        <v>20899</v>
      </c>
      <c r="D13" s="6">
        <v>45333.42</v>
      </c>
      <c r="E13" s="6">
        <v>43805.1</v>
      </c>
      <c r="F13" s="6">
        <v>7587.4989999999998</v>
      </c>
      <c r="G13" s="6">
        <v>2549.6750000000002</v>
      </c>
      <c r="H13" s="6">
        <v>41731.230000000003</v>
      </c>
      <c r="I13" s="6">
        <v>85603.96</v>
      </c>
      <c r="J13" s="2">
        <v>23360.02</v>
      </c>
      <c r="K13" s="2">
        <v>106225.1</v>
      </c>
      <c r="L13" s="6">
        <v>1826.4749999999999</v>
      </c>
      <c r="M13" s="6">
        <v>169664.7262</v>
      </c>
      <c r="N13" s="6">
        <v>122805.4</v>
      </c>
      <c r="O13" s="6">
        <v>92506.879860000001</v>
      </c>
      <c r="P13" s="2">
        <v>3454.8049999999998</v>
      </c>
      <c r="Q13" s="2">
        <v>123888.4206</v>
      </c>
      <c r="R13" s="2">
        <v>48906.6</v>
      </c>
      <c r="S13" s="2">
        <v>72257.834959999993</v>
      </c>
      <c r="T13" s="2"/>
      <c r="V13" s="4">
        <f t="shared" si="0"/>
        <v>1020658.6646200001</v>
      </c>
    </row>
    <row r="14" spans="1:22" ht="15" x14ac:dyDescent="0.2">
      <c r="A14" s="4" t="s">
        <v>11</v>
      </c>
      <c r="B14" s="6">
        <v>16241.01</v>
      </c>
      <c r="C14" s="6">
        <v>41872.25</v>
      </c>
      <c r="D14" s="6">
        <v>85921.86</v>
      </c>
      <c r="E14" s="6">
        <v>82047.95</v>
      </c>
      <c r="F14" s="6">
        <v>13945.17</v>
      </c>
      <c r="G14" s="6">
        <v>4825.6850000000004</v>
      </c>
      <c r="H14" s="6">
        <v>79749.58</v>
      </c>
      <c r="I14" s="6">
        <v>161826.5</v>
      </c>
      <c r="J14" s="2">
        <v>46325.89</v>
      </c>
      <c r="K14" s="2">
        <v>195708.9</v>
      </c>
      <c r="L14" s="6">
        <v>3636.8209999999999</v>
      </c>
      <c r="M14" s="6">
        <v>311205.13709999999</v>
      </c>
      <c r="N14" s="6">
        <v>220489.7</v>
      </c>
      <c r="O14" s="6">
        <v>170690.5362</v>
      </c>
      <c r="P14" s="2">
        <v>6011.9889999999996</v>
      </c>
      <c r="Q14" s="2">
        <v>226750.74669999999</v>
      </c>
      <c r="R14" s="2">
        <v>87799.22</v>
      </c>
      <c r="S14" s="23">
        <v>131487.04000000001</v>
      </c>
      <c r="T14" s="23"/>
      <c r="V14" s="4">
        <f t="shared" si="0"/>
        <v>1886535.9850000001</v>
      </c>
    </row>
    <row r="15" spans="1:22" ht="15" x14ac:dyDescent="0.2">
      <c r="A15" s="4" t="s">
        <v>12</v>
      </c>
      <c r="B15" s="6">
        <v>16327</v>
      </c>
      <c r="C15" s="6">
        <v>24077</v>
      </c>
      <c r="D15" s="6">
        <v>58205</v>
      </c>
      <c r="E15" s="6">
        <v>43992</v>
      </c>
      <c r="F15" s="6">
        <v>10103</v>
      </c>
      <c r="G15" s="6">
        <v>2270</v>
      </c>
      <c r="H15" s="6">
        <v>71266</v>
      </c>
      <c r="I15" s="6">
        <v>92964</v>
      </c>
      <c r="J15" s="2">
        <v>23911</v>
      </c>
      <c r="K15" s="2">
        <v>137081</v>
      </c>
      <c r="L15" s="6">
        <v>1366</v>
      </c>
      <c r="M15" s="6">
        <v>221697</v>
      </c>
      <c r="N15" s="6">
        <v>199262</v>
      </c>
      <c r="O15" s="6">
        <v>112114</v>
      </c>
      <c r="P15" s="2">
        <v>6265</v>
      </c>
      <c r="Q15" s="2">
        <v>142823</v>
      </c>
      <c r="R15" s="2">
        <v>80982</v>
      </c>
      <c r="S15" s="2">
        <v>79622</v>
      </c>
      <c r="T15" s="2"/>
      <c r="V15" s="4">
        <f t="shared" si="0"/>
        <v>1324327</v>
      </c>
    </row>
    <row r="16" spans="1:22" ht="15" x14ac:dyDescent="0.2">
      <c r="A16" s="5" t="s">
        <v>13</v>
      </c>
      <c r="B16" s="6">
        <v>6742</v>
      </c>
      <c r="C16" s="6">
        <v>10083</v>
      </c>
      <c r="D16" s="6">
        <v>19851</v>
      </c>
      <c r="E16" s="6">
        <v>16306</v>
      </c>
      <c r="F16" s="6">
        <v>3857</v>
      </c>
      <c r="G16" s="6">
        <v>834</v>
      </c>
      <c r="H16" s="6">
        <v>27657</v>
      </c>
      <c r="I16" s="6">
        <v>36844</v>
      </c>
      <c r="J16" s="2">
        <v>9465</v>
      </c>
      <c r="K16" s="2">
        <v>44967</v>
      </c>
      <c r="L16" s="6">
        <v>580</v>
      </c>
      <c r="M16" s="6">
        <v>70393</v>
      </c>
      <c r="N16" s="6">
        <v>72351</v>
      </c>
      <c r="O16" s="6">
        <v>43882</v>
      </c>
      <c r="P16" s="2">
        <v>2139</v>
      </c>
      <c r="Q16" s="2">
        <v>54499</v>
      </c>
      <c r="R16" s="2">
        <v>30094</v>
      </c>
      <c r="S16" s="2">
        <v>31328</v>
      </c>
      <c r="T16" s="2"/>
      <c r="V16" s="4">
        <f t="shared" si="0"/>
        <v>481872</v>
      </c>
    </row>
    <row r="17" spans="1:22" ht="15" x14ac:dyDescent="0.2">
      <c r="A17" s="4" t="s">
        <v>14</v>
      </c>
      <c r="B17" s="6">
        <v>12</v>
      </c>
      <c r="C17" s="6">
        <v>11</v>
      </c>
      <c r="D17" s="6">
        <v>32</v>
      </c>
      <c r="E17" s="6">
        <v>20</v>
      </c>
      <c r="F17" s="6">
        <v>4</v>
      </c>
      <c r="G17" s="6">
        <v>1</v>
      </c>
      <c r="H17" s="6">
        <v>34</v>
      </c>
      <c r="I17" s="6">
        <v>50</v>
      </c>
      <c r="J17" s="2">
        <v>45</v>
      </c>
      <c r="K17" s="2">
        <v>57</v>
      </c>
      <c r="L17" s="6">
        <v>4</v>
      </c>
      <c r="M17" s="6">
        <v>97</v>
      </c>
      <c r="N17" s="6">
        <v>61</v>
      </c>
      <c r="O17" s="6">
        <v>47</v>
      </c>
      <c r="P17" s="2">
        <v>2</v>
      </c>
      <c r="Q17" s="2">
        <v>62</v>
      </c>
      <c r="R17" s="2">
        <v>31</v>
      </c>
      <c r="S17" s="2">
        <v>34</v>
      </c>
      <c r="T17" s="2"/>
      <c r="V17" s="4">
        <f t="shared" si="0"/>
        <v>604</v>
      </c>
    </row>
    <row r="18" spans="1:22" ht="15" x14ac:dyDescent="0.2">
      <c r="A18" s="4" t="s">
        <v>15</v>
      </c>
      <c r="B18" s="6">
        <v>146</v>
      </c>
      <c r="C18" s="6">
        <v>299</v>
      </c>
      <c r="D18" s="6">
        <v>406</v>
      </c>
      <c r="E18" s="6">
        <v>479</v>
      </c>
      <c r="F18" s="6">
        <v>63</v>
      </c>
      <c r="G18" s="6">
        <v>33</v>
      </c>
      <c r="H18" s="6">
        <v>483</v>
      </c>
      <c r="I18" s="6">
        <v>1657</v>
      </c>
      <c r="J18" s="2">
        <v>704</v>
      </c>
      <c r="K18" s="2">
        <v>1503</v>
      </c>
      <c r="L18" s="6">
        <v>51</v>
      </c>
      <c r="M18" s="6">
        <v>2923</v>
      </c>
      <c r="N18" s="6">
        <v>1093</v>
      </c>
      <c r="O18" s="6">
        <v>1948</v>
      </c>
      <c r="P18" s="2">
        <v>32</v>
      </c>
      <c r="Q18" s="2">
        <v>2492</v>
      </c>
      <c r="R18" s="2">
        <v>447</v>
      </c>
      <c r="S18" s="2">
        <v>1506</v>
      </c>
      <c r="T18" s="2"/>
      <c r="V18" s="4">
        <f t="shared" si="0"/>
        <v>16265</v>
      </c>
    </row>
    <row r="19" spans="1:22" ht="15" x14ac:dyDescent="0.2">
      <c r="A19" s="4" t="s">
        <v>16</v>
      </c>
      <c r="B19" s="6">
        <v>16672</v>
      </c>
      <c r="C19" s="6">
        <v>27575</v>
      </c>
      <c r="D19" s="6">
        <v>61131</v>
      </c>
      <c r="E19" s="6">
        <v>50648</v>
      </c>
      <c r="F19" s="6">
        <v>10362</v>
      </c>
      <c r="G19" s="6">
        <v>2654</v>
      </c>
      <c r="H19" s="6">
        <v>72632</v>
      </c>
      <c r="I19" s="6">
        <v>105452</v>
      </c>
      <c r="J19" s="2">
        <v>19558</v>
      </c>
      <c r="K19" s="2">
        <v>158769</v>
      </c>
      <c r="L19" s="6">
        <v>1206</v>
      </c>
      <c r="M19" s="6">
        <v>260441</v>
      </c>
      <c r="N19" s="6">
        <v>221792</v>
      </c>
      <c r="O19" s="6">
        <v>141021</v>
      </c>
      <c r="P19" s="2">
        <v>6598</v>
      </c>
      <c r="Q19" s="2">
        <v>176279</v>
      </c>
      <c r="R19" s="2">
        <v>85622</v>
      </c>
      <c r="S19" s="2">
        <v>97209</v>
      </c>
      <c r="T19" s="2"/>
      <c r="V19" s="4">
        <f t="shared" si="0"/>
        <v>1515621</v>
      </c>
    </row>
    <row r="20" spans="1:22" ht="15" x14ac:dyDescent="0.2">
      <c r="A20" s="5" t="s">
        <v>17</v>
      </c>
      <c r="B20" s="6">
        <v>6967</v>
      </c>
      <c r="C20" s="6">
        <v>9131</v>
      </c>
      <c r="D20" s="6">
        <v>23024</v>
      </c>
      <c r="E20" s="6">
        <v>14542</v>
      </c>
      <c r="F20" s="6">
        <v>4231</v>
      </c>
      <c r="G20" s="6">
        <v>781</v>
      </c>
      <c r="H20" s="6">
        <v>31413</v>
      </c>
      <c r="I20" s="6">
        <v>33456</v>
      </c>
      <c r="J20" s="2">
        <v>8963</v>
      </c>
      <c r="K20" s="2">
        <v>39008</v>
      </c>
      <c r="L20" s="6">
        <v>572</v>
      </c>
      <c r="M20" s="6">
        <v>62702</v>
      </c>
      <c r="N20" s="6">
        <v>78836</v>
      </c>
      <c r="O20" s="6">
        <v>41558</v>
      </c>
      <c r="P20" s="2">
        <v>2294</v>
      </c>
      <c r="Q20" s="2">
        <v>53165</v>
      </c>
      <c r="R20" s="2">
        <v>26865</v>
      </c>
      <c r="S20" s="2">
        <v>30140</v>
      </c>
      <c r="T20" s="2"/>
      <c r="V20" s="4">
        <f t="shared" si="0"/>
        <v>467648</v>
      </c>
    </row>
    <row r="21" spans="1:22" ht="15" x14ac:dyDescent="0.2">
      <c r="A21" s="4" t="s">
        <v>18</v>
      </c>
      <c r="B21" s="6">
        <v>12</v>
      </c>
      <c r="C21" s="6">
        <v>11</v>
      </c>
      <c r="D21" s="6">
        <v>34</v>
      </c>
      <c r="E21" s="6">
        <v>20</v>
      </c>
      <c r="F21" s="6">
        <v>4</v>
      </c>
      <c r="G21" s="6">
        <v>1</v>
      </c>
      <c r="H21" s="6">
        <v>34</v>
      </c>
      <c r="I21" s="6">
        <v>50</v>
      </c>
      <c r="J21" s="2">
        <v>69</v>
      </c>
      <c r="K21" s="2">
        <v>57</v>
      </c>
      <c r="L21" s="6">
        <v>6</v>
      </c>
      <c r="M21" s="6">
        <v>96</v>
      </c>
      <c r="N21" s="6">
        <v>61</v>
      </c>
      <c r="O21" s="6">
        <v>47</v>
      </c>
      <c r="P21" s="2">
        <v>2</v>
      </c>
      <c r="Q21" s="2">
        <v>62</v>
      </c>
      <c r="R21" s="2">
        <v>31</v>
      </c>
      <c r="S21" s="2">
        <v>34</v>
      </c>
      <c r="T21" s="2"/>
      <c r="V21" s="4">
        <f t="shared" si="0"/>
        <v>631</v>
      </c>
    </row>
    <row r="22" spans="1:22" ht="15" x14ac:dyDescent="0.2">
      <c r="A22" s="4" t="s">
        <v>19</v>
      </c>
      <c r="B22" s="6">
        <v>157</v>
      </c>
      <c r="C22" s="6">
        <v>291</v>
      </c>
      <c r="D22" s="6">
        <v>396</v>
      </c>
      <c r="E22" s="6">
        <v>470</v>
      </c>
      <c r="F22" s="6">
        <v>66</v>
      </c>
      <c r="G22" s="6">
        <v>20</v>
      </c>
      <c r="H22" s="6">
        <v>464</v>
      </c>
      <c r="I22" s="6">
        <v>1541</v>
      </c>
      <c r="J22" s="2">
        <v>682</v>
      </c>
      <c r="K22" s="2">
        <v>1390</v>
      </c>
      <c r="L22" s="6">
        <v>44</v>
      </c>
      <c r="M22" s="6">
        <v>2877</v>
      </c>
      <c r="N22" s="6">
        <v>1189</v>
      </c>
      <c r="O22" s="6">
        <v>2091</v>
      </c>
      <c r="P22" s="2">
        <v>35</v>
      </c>
      <c r="Q22" s="2">
        <v>2735</v>
      </c>
      <c r="R22" s="2">
        <v>701</v>
      </c>
      <c r="S22" s="2">
        <v>1551</v>
      </c>
      <c r="T22" s="2"/>
      <c r="V22" s="4">
        <f t="shared" si="0"/>
        <v>16700</v>
      </c>
    </row>
    <row r="23" spans="1:22" ht="15" x14ac:dyDescent="0.2">
      <c r="A23" s="4" t="s">
        <v>20</v>
      </c>
      <c r="B23" s="6">
        <v>67342</v>
      </c>
      <c r="C23" s="6">
        <v>126520</v>
      </c>
      <c r="D23" s="6">
        <v>260964</v>
      </c>
      <c r="E23" s="6">
        <v>239259</v>
      </c>
      <c r="F23" s="6">
        <v>45136</v>
      </c>
      <c r="G23" s="6">
        <v>11618</v>
      </c>
      <c r="H23" s="6">
        <v>302487</v>
      </c>
      <c r="I23" s="6">
        <v>478975</v>
      </c>
      <c r="J23" s="2">
        <v>138072</v>
      </c>
      <c r="K23" s="2">
        <v>761000</v>
      </c>
      <c r="L23" s="6">
        <v>8071</v>
      </c>
      <c r="M23" s="6">
        <v>1285341</v>
      </c>
      <c r="N23" s="6">
        <v>905313</v>
      </c>
      <c r="O23" s="6">
        <v>657910</v>
      </c>
      <c r="P23" s="2">
        <v>27418</v>
      </c>
      <c r="Q23" s="2">
        <v>837633</v>
      </c>
      <c r="R23" s="2">
        <v>344642</v>
      </c>
      <c r="S23" s="2">
        <v>470233</v>
      </c>
      <c r="T23" s="2"/>
      <c r="V23" s="4">
        <f t="shared" si="0"/>
        <v>6967934</v>
      </c>
    </row>
    <row r="24" spans="1:22" ht="15" x14ac:dyDescent="0.2">
      <c r="A24" s="4" t="s">
        <v>21</v>
      </c>
      <c r="B24" s="6">
        <v>57314</v>
      </c>
      <c r="C24" s="6">
        <v>113785</v>
      </c>
      <c r="D24" s="6">
        <v>232610</v>
      </c>
      <c r="E24" s="6">
        <v>213037</v>
      </c>
      <c r="F24" s="6">
        <v>39711</v>
      </c>
      <c r="G24" s="6">
        <v>10841</v>
      </c>
      <c r="H24" s="6">
        <v>260127</v>
      </c>
      <c r="I24" s="6">
        <v>426289</v>
      </c>
      <c r="J24" s="2">
        <v>108201</v>
      </c>
      <c r="K24" s="2">
        <v>677054</v>
      </c>
      <c r="L24" s="6">
        <v>7490</v>
      </c>
      <c r="M24" s="6">
        <v>1175105</v>
      </c>
      <c r="N24" s="6">
        <v>859021</v>
      </c>
      <c r="O24" s="6">
        <v>643768</v>
      </c>
      <c r="P24" s="2">
        <v>25008</v>
      </c>
      <c r="Q24" s="2">
        <v>820918</v>
      </c>
      <c r="R24" s="2">
        <v>296031</v>
      </c>
      <c r="S24" s="2">
        <v>464903</v>
      </c>
      <c r="T24" s="2"/>
      <c r="V24" s="4">
        <f t="shared" si="0"/>
        <v>6431213</v>
      </c>
    </row>
    <row r="25" spans="1:22" ht="15" x14ac:dyDescent="0.2">
      <c r="A25" s="4" t="s">
        <v>22</v>
      </c>
      <c r="B25" s="6">
        <v>2103</v>
      </c>
      <c r="C25" s="6">
        <v>2150</v>
      </c>
      <c r="D25" s="6">
        <v>4980</v>
      </c>
      <c r="E25" s="6">
        <v>3973</v>
      </c>
      <c r="F25" s="6">
        <v>788</v>
      </c>
      <c r="G25" s="6">
        <v>193</v>
      </c>
      <c r="H25" s="6">
        <v>6704</v>
      </c>
      <c r="I25" s="6">
        <v>9841</v>
      </c>
      <c r="J25" s="2">
        <v>7750</v>
      </c>
      <c r="K25" s="2">
        <v>11339</v>
      </c>
      <c r="L25" s="6">
        <v>597</v>
      </c>
      <c r="M25" s="6">
        <v>19073</v>
      </c>
      <c r="N25" s="6">
        <v>12151</v>
      </c>
      <c r="O25" s="6">
        <v>9374</v>
      </c>
      <c r="P25" s="2">
        <v>399</v>
      </c>
      <c r="Q25" s="2">
        <v>12352</v>
      </c>
      <c r="R25" s="2">
        <v>6185</v>
      </c>
      <c r="S25" s="2">
        <v>6785</v>
      </c>
      <c r="T25" s="2"/>
      <c r="V25" s="4">
        <f t="shared" si="0"/>
        <v>116737</v>
      </c>
    </row>
    <row r="26" spans="1:22" ht="15" x14ac:dyDescent="0.2">
      <c r="A26" s="4" t="s">
        <v>23</v>
      </c>
      <c r="B26" s="6">
        <v>2103</v>
      </c>
      <c r="C26" s="6">
        <v>2150</v>
      </c>
      <c r="D26" s="6">
        <v>4980</v>
      </c>
      <c r="E26" s="6">
        <v>3973</v>
      </c>
      <c r="F26" s="6">
        <v>788</v>
      </c>
      <c r="G26" s="6">
        <v>193</v>
      </c>
      <c r="H26" s="6">
        <v>6704</v>
      </c>
      <c r="I26" s="6">
        <v>9841</v>
      </c>
      <c r="J26" s="2">
        <v>7750</v>
      </c>
      <c r="K26" s="2">
        <v>11339</v>
      </c>
      <c r="L26" s="6">
        <v>597</v>
      </c>
      <c r="M26" s="6">
        <v>19073</v>
      </c>
      <c r="N26" s="6">
        <v>12151</v>
      </c>
      <c r="O26" s="6">
        <v>9374</v>
      </c>
      <c r="P26" s="2">
        <v>399</v>
      </c>
      <c r="Q26" s="2">
        <v>12352</v>
      </c>
      <c r="R26" s="2">
        <v>6185</v>
      </c>
      <c r="S26" s="2">
        <v>6785</v>
      </c>
      <c r="T26" s="2"/>
      <c r="V26" s="4">
        <f t="shared" si="0"/>
        <v>116737</v>
      </c>
    </row>
    <row r="27" spans="1:22" ht="15" x14ac:dyDescent="0.2">
      <c r="A27" s="4" t="s">
        <v>24</v>
      </c>
      <c r="B27" s="6">
        <v>4206</v>
      </c>
      <c r="C27" s="6">
        <v>4300</v>
      </c>
      <c r="D27" s="6">
        <v>9960</v>
      </c>
      <c r="E27" s="6">
        <v>7946</v>
      </c>
      <c r="F27" s="6">
        <v>1576</v>
      </c>
      <c r="G27" s="6">
        <v>386</v>
      </c>
      <c r="H27" s="6">
        <v>13408</v>
      </c>
      <c r="I27" s="6">
        <v>19682</v>
      </c>
      <c r="J27" s="2">
        <v>15500</v>
      </c>
      <c r="K27" s="2">
        <v>22678</v>
      </c>
      <c r="L27" s="6">
        <v>1194</v>
      </c>
      <c r="M27" s="6">
        <v>38146</v>
      </c>
      <c r="N27" s="6">
        <v>24302</v>
      </c>
      <c r="O27" s="6">
        <v>18748</v>
      </c>
      <c r="P27" s="2">
        <v>798</v>
      </c>
      <c r="Q27" s="2">
        <v>24704</v>
      </c>
      <c r="R27" s="2">
        <v>12370</v>
      </c>
      <c r="S27" s="2">
        <v>13570</v>
      </c>
      <c r="T27" s="2"/>
      <c r="V27" s="4">
        <f t="shared" si="0"/>
        <v>233474</v>
      </c>
    </row>
    <row r="28" spans="1:22" x14ac:dyDescent="0.2">
      <c r="A28" s="4" t="s">
        <v>27</v>
      </c>
      <c r="B28" s="4">
        <v>4</v>
      </c>
      <c r="C28" s="4">
        <v>3</v>
      </c>
      <c r="D28" s="4">
        <v>21</v>
      </c>
      <c r="E28" s="4">
        <v>15</v>
      </c>
      <c r="F28" s="4">
        <v>0</v>
      </c>
      <c r="G28" s="4">
        <v>0</v>
      </c>
      <c r="H28" s="4">
        <v>13</v>
      </c>
      <c r="I28" s="4">
        <v>18</v>
      </c>
      <c r="J28" s="4">
        <v>6</v>
      </c>
      <c r="K28" s="4">
        <v>24</v>
      </c>
      <c r="L28" s="4">
        <v>1</v>
      </c>
      <c r="M28" s="4">
        <v>22</v>
      </c>
      <c r="N28" s="4">
        <v>16</v>
      </c>
      <c r="O28" s="4">
        <v>13</v>
      </c>
      <c r="P28" s="4">
        <v>0</v>
      </c>
      <c r="Q28" s="4">
        <v>14</v>
      </c>
      <c r="R28" s="4">
        <v>10</v>
      </c>
      <c r="S28" s="4">
        <v>14</v>
      </c>
      <c r="V28" s="4">
        <f t="shared" si="0"/>
        <v>194</v>
      </c>
    </row>
    <row r="29" spans="1:22" x14ac:dyDescent="0.2">
      <c r="A29" s="4" t="s">
        <v>28</v>
      </c>
      <c r="B29" s="4">
        <v>7</v>
      </c>
      <c r="C29" s="4">
        <v>8</v>
      </c>
      <c r="D29" s="4">
        <v>4</v>
      </c>
      <c r="E29" s="4">
        <v>5</v>
      </c>
      <c r="F29" s="4">
        <v>3</v>
      </c>
      <c r="G29" s="4">
        <v>1</v>
      </c>
      <c r="H29" s="4">
        <v>21</v>
      </c>
      <c r="I29" s="4">
        <v>32</v>
      </c>
      <c r="J29" s="4">
        <v>33</v>
      </c>
      <c r="K29" s="4">
        <v>33</v>
      </c>
      <c r="L29" s="4">
        <v>2</v>
      </c>
      <c r="M29" s="4">
        <v>74</v>
      </c>
      <c r="N29" s="4">
        <v>44</v>
      </c>
      <c r="O29" s="4">
        <v>34</v>
      </c>
      <c r="P29" s="4">
        <v>2</v>
      </c>
      <c r="Q29" s="4">
        <v>48</v>
      </c>
      <c r="R29" s="4">
        <v>21</v>
      </c>
      <c r="S29" s="4">
        <v>20</v>
      </c>
      <c r="V29" s="4">
        <f t="shared" si="0"/>
        <v>392</v>
      </c>
    </row>
    <row r="30" spans="1:22" x14ac:dyDescent="0.2">
      <c r="A30" s="4" t="s">
        <v>60</v>
      </c>
      <c r="B30" s="4">
        <v>0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V30" s="4">
        <f t="shared" si="0"/>
        <v>2</v>
      </c>
    </row>
    <row r="31" spans="1:22" x14ac:dyDescent="0.2">
      <c r="A31" s="4" t="s">
        <v>29</v>
      </c>
      <c r="B31" s="4">
        <v>11</v>
      </c>
      <c r="C31" s="4">
        <v>11</v>
      </c>
      <c r="D31" s="4">
        <v>25</v>
      </c>
      <c r="E31" s="4">
        <v>20</v>
      </c>
      <c r="F31" s="4">
        <v>4</v>
      </c>
      <c r="G31" s="4">
        <v>1</v>
      </c>
      <c r="H31" s="4">
        <v>34</v>
      </c>
      <c r="I31" s="4">
        <v>50</v>
      </c>
      <c r="J31" s="4">
        <v>39</v>
      </c>
      <c r="K31" s="4">
        <v>57</v>
      </c>
      <c r="L31" s="4">
        <v>3</v>
      </c>
      <c r="M31" s="4">
        <v>96</v>
      </c>
      <c r="N31" s="4">
        <v>61</v>
      </c>
      <c r="O31" s="4">
        <v>47</v>
      </c>
      <c r="P31" s="4">
        <v>2</v>
      </c>
      <c r="Q31" s="4">
        <v>62</v>
      </c>
      <c r="R31" s="4">
        <v>31</v>
      </c>
      <c r="S31" s="4">
        <v>34</v>
      </c>
      <c r="V31" s="4">
        <f t="shared" si="0"/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4EB1-8C96-480B-8DA9-A8BDDD823973}">
  <dimension ref="A2:L32"/>
  <sheetViews>
    <sheetView workbookViewId="0">
      <selection activeCell="K6" sqref="K6"/>
    </sheetView>
  </sheetViews>
  <sheetFormatPr defaultRowHeight="15" x14ac:dyDescent="0.25"/>
  <cols>
    <col min="1" max="1" width="32.42578125" customWidth="1"/>
    <col min="2" max="2" width="15.42578125" customWidth="1"/>
    <col min="3" max="3" width="16.7109375" customWidth="1"/>
    <col min="4" max="4" width="14" customWidth="1"/>
    <col min="5" max="6" width="14.28515625" customWidth="1"/>
    <col min="7" max="7" width="13.42578125" customWidth="1"/>
    <col min="8" max="8" width="14.85546875" customWidth="1"/>
    <col min="9" max="11" width="17" customWidth="1"/>
    <col min="12" max="12" width="17.140625" customWidth="1"/>
  </cols>
  <sheetData>
    <row r="2" spans="1:12" x14ac:dyDescent="0.25">
      <c r="A2" s="1"/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91</v>
      </c>
      <c r="K2" s="3" t="s">
        <v>92</v>
      </c>
      <c r="L2" s="3" t="s">
        <v>52</v>
      </c>
    </row>
    <row r="3" spans="1:12" x14ac:dyDescent="0.25">
      <c r="A3" s="4" t="s">
        <v>0</v>
      </c>
      <c r="B3" s="2">
        <v>4253</v>
      </c>
      <c r="C3" s="2">
        <v>8953</v>
      </c>
      <c r="D3" s="2">
        <v>981</v>
      </c>
      <c r="E3" s="2">
        <v>16545</v>
      </c>
      <c r="F3" s="2">
        <v>19089</v>
      </c>
      <c r="G3" s="2">
        <v>19670</v>
      </c>
      <c r="H3" s="2">
        <v>21525</v>
      </c>
      <c r="I3" s="2">
        <v>12751</v>
      </c>
      <c r="J3" s="2">
        <v>12970</v>
      </c>
      <c r="K3" s="1"/>
      <c r="L3">
        <f>SUM(B3:K3)</f>
        <v>116737</v>
      </c>
    </row>
    <row r="4" spans="1:12" x14ac:dyDescent="0.25">
      <c r="A4" s="4" t="s">
        <v>1</v>
      </c>
      <c r="B4" s="2">
        <v>4253</v>
      </c>
      <c r="C4" s="2">
        <v>8953</v>
      </c>
      <c r="D4" s="2">
        <v>981</v>
      </c>
      <c r="E4" s="2">
        <v>16545</v>
      </c>
      <c r="F4" s="2">
        <v>19089</v>
      </c>
      <c r="G4" s="2">
        <v>19670</v>
      </c>
      <c r="H4" s="2">
        <v>21525</v>
      </c>
      <c r="I4" s="2">
        <v>12751</v>
      </c>
      <c r="J4" s="2">
        <v>12970</v>
      </c>
      <c r="K4" s="1"/>
      <c r="L4">
        <f t="shared" ref="L4:L32" si="0">SUM(B4:K4)</f>
        <v>116737</v>
      </c>
    </row>
    <row r="5" spans="1:12" x14ac:dyDescent="0.25">
      <c r="A5" s="4" t="s">
        <v>2</v>
      </c>
      <c r="B5" s="2">
        <v>8506</v>
      </c>
      <c r="C5" s="2">
        <v>17906</v>
      </c>
      <c r="D5" s="2">
        <v>1962</v>
      </c>
      <c r="E5" s="2">
        <v>33090</v>
      </c>
      <c r="F5" s="2">
        <v>38178</v>
      </c>
      <c r="G5" s="2">
        <v>39340</v>
      </c>
      <c r="H5" s="2">
        <v>43050</v>
      </c>
      <c r="I5" s="2">
        <v>25502</v>
      </c>
      <c r="J5" s="2">
        <v>25940</v>
      </c>
      <c r="K5" s="1"/>
      <c r="L5">
        <f t="shared" si="0"/>
        <v>233474</v>
      </c>
    </row>
    <row r="6" spans="1:12" x14ac:dyDescent="0.25">
      <c r="A6" s="4" t="s">
        <v>3</v>
      </c>
      <c r="B6" s="2">
        <v>48.167479999999998</v>
      </c>
      <c r="C6" s="2">
        <v>120.5528</v>
      </c>
      <c r="D6" s="2">
        <v>13.824</v>
      </c>
      <c r="E6" s="2">
        <v>179.2465</v>
      </c>
      <c r="F6" s="2">
        <v>206.43119999999999</v>
      </c>
      <c r="G6" s="2">
        <v>235.39</v>
      </c>
      <c r="H6" s="2">
        <v>276.47649999999999</v>
      </c>
      <c r="I6" s="2">
        <v>171.2013</v>
      </c>
      <c r="J6" s="2">
        <v>155.1824</v>
      </c>
      <c r="K6" s="1"/>
      <c r="L6">
        <f t="shared" si="0"/>
        <v>1406.4721799999998</v>
      </c>
    </row>
    <row r="7" spans="1:12" x14ac:dyDescent="0.25">
      <c r="A7" s="4" t="s">
        <v>4</v>
      </c>
      <c r="B7" s="2">
        <v>408.31479999999999</v>
      </c>
      <c r="C7" s="2">
        <v>1150.3240000000001</v>
      </c>
      <c r="D7" s="2">
        <v>108.1173</v>
      </c>
      <c r="E7" s="2">
        <v>1585.027</v>
      </c>
      <c r="F7" s="2">
        <v>1415.3779999999999</v>
      </c>
      <c r="G7" s="2">
        <v>1817.2670000000001</v>
      </c>
      <c r="H7" s="2">
        <v>2249.0700000000002</v>
      </c>
      <c r="I7" s="2">
        <v>1396.614</v>
      </c>
      <c r="J7" s="2">
        <v>1201.1569999999999</v>
      </c>
      <c r="K7" s="1"/>
      <c r="L7">
        <f t="shared" si="0"/>
        <v>11331.2691</v>
      </c>
    </row>
    <row r="8" spans="1:12" x14ac:dyDescent="0.25">
      <c r="A8" s="5" t="s">
        <v>5</v>
      </c>
      <c r="B8" s="2">
        <v>149.44800000000001</v>
      </c>
      <c r="C8" s="2">
        <v>396.50659999999999</v>
      </c>
      <c r="D8" s="2">
        <v>44.010399999999997</v>
      </c>
      <c r="E8" s="2">
        <v>580.03989999999999</v>
      </c>
      <c r="F8" s="2">
        <v>585.20979999999997</v>
      </c>
      <c r="G8" s="2">
        <v>721.68640000000005</v>
      </c>
      <c r="H8" s="2">
        <v>882.40139999999997</v>
      </c>
      <c r="I8" s="2">
        <v>529.07219999999995</v>
      </c>
      <c r="J8" s="2">
        <v>491.72559999999999</v>
      </c>
      <c r="K8" s="1"/>
      <c r="L8">
        <f t="shared" si="0"/>
        <v>4380.1003000000001</v>
      </c>
    </row>
    <row r="9" spans="1:12" x14ac:dyDescent="0.25">
      <c r="A9" s="4" t="s">
        <v>6</v>
      </c>
      <c r="B9" s="2">
        <v>51.272559999999999</v>
      </c>
      <c r="C9" s="2">
        <v>116.4301</v>
      </c>
      <c r="D9" s="2">
        <v>14.848000000000001</v>
      </c>
      <c r="E9" s="2">
        <v>194.13570000000001</v>
      </c>
      <c r="F9" s="2">
        <v>210.90629999999999</v>
      </c>
      <c r="G9" s="2">
        <v>248.107</v>
      </c>
      <c r="H9" s="2">
        <v>284.43709999999999</v>
      </c>
      <c r="I9" s="2">
        <v>181.4239</v>
      </c>
      <c r="J9" s="2">
        <v>166.58459999999999</v>
      </c>
      <c r="K9" s="1"/>
      <c r="L9">
        <f t="shared" si="0"/>
        <v>1468.1452599999998</v>
      </c>
    </row>
    <row r="10" spans="1:12" x14ac:dyDescent="0.25">
      <c r="A10" s="4" t="s">
        <v>7</v>
      </c>
      <c r="B10" s="2">
        <v>402.58300000000003</v>
      </c>
      <c r="C10" s="2">
        <v>1243.278</v>
      </c>
      <c r="D10" s="2">
        <v>130.816</v>
      </c>
      <c r="E10" s="2">
        <v>1742.2860000000001</v>
      </c>
      <c r="F10" s="2">
        <v>1540.787</v>
      </c>
      <c r="G10" s="2">
        <v>2202.9259999999999</v>
      </c>
      <c r="H10" s="2">
        <v>3033.57</v>
      </c>
      <c r="I10" s="2">
        <v>1869.999</v>
      </c>
      <c r="J10" s="2">
        <v>1556.2070000000001</v>
      </c>
      <c r="K10" s="1"/>
      <c r="L10">
        <f t="shared" si="0"/>
        <v>13722.451999999999</v>
      </c>
    </row>
    <row r="11" spans="1:12" x14ac:dyDescent="0.25">
      <c r="A11" s="5" t="s">
        <v>8</v>
      </c>
      <c r="B11" s="2">
        <v>150.60419999999999</v>
      </c>
      <c r="C11" s="2">
        <v>448.45839999999998</v>
      </c>
      <c r="D11" s="2">
        <v>51.683280000000003</v>
      </c>
      <c r="E11" s="2">
        <v>646.86710000000005</v>
      </c>
      <c r="F11" s="2">
        <v>651.49270000000001</v>
      </c>
      <c r="G11" s="2">
        <v>863.26310000000001</v>
      </c>
      <c r="H11" s="2">
        <v>1080.192</v>
      </c>
      <c r="I11" s="2">
        <v>639.07579999999996</v>
      </c>
      <c r="J11" s="2">
        <v>607.22590000000002</v>
      </c>
      <c r="K11" s="1"/>
      <c r="L11">
        <f t="shared" si="0"/>
        <v>5138.8624799999998</v>
      </c>
    </row>
    <row r="12" spans="1:12" x14ac:dyDescent="0.25">
      <c r="A12" s="4" t="s">
        <v>9</v>
      </c>
      <c r="B12" s="2">
        <v>28961.75</v>
      </c>
      <c r="C12" s="2">
        <v>78831.289999999994</v>
      </c>
      <c r="D12" s="2">
        <v>8633.6859999999997</v>
      </c>
      <c r="E12" s="2">
        <v>114240.9</v>
      </c>
      <c r="F12" s="2">
        <v>112449.60000000001</v>
      </c>
      <c r="G12" s="2">
        <v>143350.79999999999</v>
      </c>
      <c r="H12" s="2">
        <v>175867.9</v>
      </c>
      <c r="I12" s="2">
        <v>105419.5</v>
      </c>
      <c r="J12" s="2">
        <v>98121.81</v>
      </c>
      <c r="K12" s="1"/>
      <c r="L12">
        <f t="shared" si="0"/>
        <v>865877.23600000003</v>
      </c>
    </row>
    <row r="13" spans="1:12" x14ac:dyDescent="0.25">
      <c r="A13" s="4" t="s">
        <v>10</v>
      </c>
      <c r="B13" s="2">
        <v>29151.52</v>
      </c>
      <c r="C13" s="2">
        <v>89138.52</v>
      </c>
      <c r="D13" s="2">
        <v>10137.17</v>
      </c>
      <c r="E13" s="2">
        <v>127335.2</v>
      </c>
      <c r="F13" s="2">
        <v>129585.1</v>
      </c>
      <c r="G13" s="2">
        <v>171491.20000000001</v>
      </c>
      <c r="H13" s="2">
        <v>215312.3</v>
      </c>
      <c r="I13" s="2">
        <v>127343.2</v>
      </c>
      <c r="J13" s="2">
        <v>121164.4</v>
      </c>
      <c r="K13" s="1"/>
      <c r="L13">
        <f t="shared" si="0"/>
        <v>1020658.61</v>
      </c>
    </row>
    <row r="14" spans="1:12" x14ac:dyDescent="0.25">
      <c r="A14" s="4" t="s">
        <v>11</v>
      </c>
      <c r="B14" s="2">
        <v>58113.26</v>
      </c>
      <c r="C14" s="2">
        <v>167969.8</v>
      </c>
      <c r="D14" s="2">
        <v>18770.86</v>
      </c>
      <c r="E14" s="2">
        <v>241576.1</v>
      </c>
      <c r="F14" s="2">
        <v>242034.8</v>
      </c>
      <c r="G14" s="2">
        <v>314842</v>
      </c>
      <c r="H14" s="2">
        <v>391180.2</v>
      </c>
      <c r="I14" s="2">
        <v>232762.7</v>
      </c>
      <c r="J14" s="2">
        <v>219286.3</v>
      </c>
      <c r="K14" s="1"/>
      <c r="L14">
        <f t="shared" si="0"/>
        <v>1886536.02</v>
      </c>
    </row>
    <row r="15" spans="1:12" x14ac:dyDescent="0.25">
      <c r="A15" s="4" t="s">
        <v>12</v>
      </c>
      <c r="B15" s="2">
        <v>40404</v>
      </c>
      <c r="C15" s="2">
        <v>102197</v>
      </c>
      <c r="D15" s="2">
        <v>12373</v>
      </c>
      <c r="E15" s="2">
        <v>164230</v>
      </c>
      <c r="F15" s="2">
        <v>160992</v>
      </c>
      <c r="G15" s="2">
        <v>223063</v>
      </c>
      <c r="H15" s="2">
        <v>311376</v>
      </c>
      <c r="I15" s="2">
        <v>149088</v>
      </c>
      <c r="J15" s="2">
        <v>160604</v>
      </c>
      <c r="K15" s="1"/>
      <c r="L15">
        <f t="shared" si="0"/>
        <v>1324327</v>
      </c>
    </row>
    <row r="16" spans="1:12" x14ac:dyDescent="0.25">
      <c r="A16" s="5" t="s">
        <v>13</v>
      </c>
      <c r="B16" s="2">
        <v>16825</v>
      </c>
      <c r="C16" s="2">
        <v>36157</v>
      </c>
      <c r="D16" s="2">
        <v>4691</v>
      </c>
      <c r="E16" s="2">
        <v>64501</v>
      </c>
      <c r="F16" s="2">
        <v>54432</v>
      </c>
      <c r="G16" s="2">
        <v>70973</v>
      </c>
      <c r="H16" s="2">
        <v>116233</v>
      </c>
      <c r="I16" s="2">
        <v>56638</v>
      </c>
      <c r="J16" s="2">
        <v>61422</v>
      </c>
      <c r="K16" s="1"/>
      <c r="L16">
        <f t="shared" si="0"/>
        <v>481872</v>
      </c>
    </row>
    <row r="17" spans="1:12" x14ac:dyDescent="0.25">
      <c r="A17" s="4" t="s">
        <v>14</v>
      </c>
      <c r="B17" s="2">
        <v>23</v>
      </c>
      <c r="C17" s="2">
        <v>52</v>
      </c>
      <c r="D17" s="2">
        <v>5</v>
      </c>
      <c r="E17" s="2">
        <v>84</v>
      </c>
      <c r="F17" s="2">
        <v>102</v>
      </c>
      <c r="G17" s="2">
        <v>101</v>
      </c>
      <c r="H17" s="2">
        <v>108</v>
      </c>
      <c r="I17" s="2">
        <v>64</v>
      </c>
      <c r="J17" s="2">
        <v>65</v>
      </c>
      <c r="K17" s="1"/>
      <c r="L17">
        <f t="shared" si="0"/>
        <v>604</v>
      </c>
    </row>
    <row r="18" spans="1:12" x14ac:dyDescent="0.25">
      <c r="A18" s="4" t="s">
        <v>15</v>
      </c>
      <c r="B18" s="2">
        <v>445</v>
      </c>
      <c r="C18" s="2">
        <v>885</v>
      </c>
      <c r="D18" s="2">
        <v>96</v>
      </c>
      <c r="E18" s="2">
        <v>2140</v>
      </c>
      <c r="F18" s="2">
        <v>2207</v>
      </c>
      <c r="G18" s="2">
        <v>2974</v>
      </c>
      <c r="H18" s="2">
        <v>3041</v>
      </c>
      <c r="I18" s="2">
        <v>2524</v>
      </c>
      <c r="J18" s="2">
        <v>1953</v>
      </c>
      <c r="K18" s="1"/>
      <c r="L18">
        <f t="shared" si="0"/>
        <v>16265</v>
      </c>
    </row>
    <row r="19" spans="1:12" x14ac:dyDescent="0.25">
      <c r="A19" s="4" t="s">
        <v>16</v>
      </c>
      <c r="B19" s="2">
        <v>44247</v>
      </c>
      <c r="C19" s="2">
        <v>111779</v>
      </c>
      <c r="D19" s="2">
        <v>13016</v>
      </c>
      <c r="E19" s="2">
        <v>178084</v>
      </c>
      <c r="F19" s="2">
        <v>178327</v>
      </c>
      <c r="G19" s="2">
        <v>261647</v>
      </c>
      <c r="H19" s="2">
        <v>362813</v>
      </c>
      <c r="I19" s="2">
        <v>182877</v>
      </c>
      <c r="J19" s="2">
        <v>182831</v>
      </c>
      <c r="K19" s="1"/>
      <c r="L19">
        <f t="shared" si="0"/>
        <v>1515621</v>
      </c>
    </row>
    <row r="20" spans="1:12" x14ac:dyDescent="0.25">
      <c r="A20" s="5" t="s">
        <v>17</v>
      </c>
      <c r="B20" s="2">
        <v>16098</v>
      </c>
      <c r="C20" s="2">
        <v>37566</v>
      </c>
      <c r="D20" s="2">
        <v>5012</v>
      </c>
      <c r="E20" s="2">
        <v>64869</v>
      </c>
      <c r="F20" s="2">
        <v>47971</v>
      </c>
      <c r="G20" s="2">
        <v>63274</v>
      </c>
      <c r="H20" s="2">
        <v>120394</v>
      </c>
      <c r="I20" s="2">
        <v>55459</v>
      </c>
      <c r="J20" s="2">
        <v>57005</v>
      </c>
      <c r="K20" s="1"/>
      <c r="L20">
        <f t="shared" si="0"/>
        <v>467648</v>
      </c>
    </row>
    <row r="21" spans="1:12" x14ac:dyDescent="0.25">
      <c r="A21" s="4" t="s">
        <v>18</v>
      </c>
      <c r="B21" s="2">
        <v>23</v>
      </c>
      <c r="C21" s="2">
        <v>54</v>
      </c>
      <c r="D21" s="2">
        <v>5</v>
      </c>
      <c r="E21" s="2">
        <v>84</v>
      </c>
      <c r="F21" s="2">
        <v>126</v>
      </c>
      <c r="G21" s="2">
        <v>102</v>
      </c>
      <c r="H21" s="2">
        <v>108</v>
      </c>
      <c r="I21" s="2">
        <v>64</v>
      </c>
      <c r="J21" s="2">
        <v>65</v>
      </c>
      <c r="K21" s="1"/>
      <c r="L21">
        <f t="shared" si="0"/>
        <v>631</v>
      </c>
    </row>
    <row r="22" spans="1:12" x14ac:dyDescent="0.25">
      <c r="A22" s="4" t="s">
        <v>19</v>
      </c>
      <c r="B22" s="2">
        <v>448</v>
      </c>
      <c r="C22" s="2">
        <v>866</v>
      </c>
      <c r="D22" s="2">
        <v>86</v>
      </c>
      <c r="E22" s="2">
        <v>2005</v>
      </c>
      <c r="F22" s="2">
        <v>2072</v>
      </c>
      <c r="G22" s="2">
        <v>2921</v>
      </c>
      <c r="H22" s="2">
        <v>3280</v>
      </c>
      <c r="I22" s="2">
        <v>2770</v>
      </c>
      <c r="J22" s="2">
        <v>2252</v>
      </c>
      <c r="K22" s="1"/>
      <c r="L22">
        <f t="shared" si="0"/>
        <v>16700</v>
      </c>
    </row>
    <row r="23" spans="1:12" x14ac:dyDescent="0.25">
      <c r="A23" s="4" t="s">
        <v>20</v>
      </c>
      <c r="B23" s="2">
        <v>193862</v>
      </c>
      <c r="C23" s="2">
        <v>500223</v>
      </c>
      <c r="D23" s="2">
        <v>56754</v>
      </c>
      <c r="E23" s="2">
        <v>781462</v>
      </c>
      <c r="F23" s="2">
        <v>899072</v>
      </c>
      <c r="G23" s="2">
        <v>1293412</v>
      </c>
      <c r="H23" s="2">
        <v>1563223</v>
      </c>
      <c r="I23" s="2">
        <v>865051</v>
      </c>
      <c r="J23" s="2">
        <v>814875</v>
      </c>
      <c r="K23" s="1"/>
      <c r="L23">
        <f t="shared" si="0"/>
        <v>6967934</v>
      </c>
    </row>
    <row r="24" spans="1:12" x14ac:dyDescent="0.25">
      <c r="A24" s="4" t="s">
        <v>21</v>
      </c>
      <c r="B24" s="2">
        <v>171099</v>
      </c>
      <c r="C24" s="2">
        <v>445647</v>
      </c>
      <c r="D24" s="2">
        <v>50552</v>
      </c>
      <c r="E24" s="2">
        <v>686416</v>
      </c>
      <c r="F24" s="2">
        <v>785255</v>
      </c>
      <c r="G24" s="2">
        <v>1182595</v>
      </c>
      <c r="H24" s="2">
        <v>1502789</v>
      </c>
      <c r="I24" s="2">
        <v>845926</v>
      </c>
      <c r="J24" s="2">
        <v>760934</v>
      </c>
      <c r="K24" s="1"/>
      <c r="L24">
        <f t="shared" si="0"/>
        <v>6431213</v>
      </c>
    </row>
    <row r="25" spans="1:12" x14ac:dyDescent="0.25">
      <c r="A25" s="4" t="s">
        <v>22</v>
      </c>
      <c r="B25" s="2">
        <v>4253</v>
      </c>
      <c r="C25" s="2">
        <v>8953</v>
      </c>
      <c r="D25" s="2">
        <v>981</v>
      </c>
      <c r="E25" s="2">
        <v>16545</v>
      </c>
      <c r="F25" s="2">
        <v>19089</v>
      </c>
      <c r="G25" s="2">
        <v>19670</v>
      </c>
      <c r="H25" s="2">
        <v>21525</v>
      </c>
      <c r="I25" s="2">
        <v>12751</v>
      </c>
      <c r="J25" s="2">
        <v>12970</v>
      </c>
      <c r="K25" s="1"/>
      <c r="L25">
        <f t="shared" si="0"/>
        <v>116737</v>
      </c>
    </row>
    <row r="26" spans="1:12" x14ac:dyDescent="0.25">
      <c r="A26" s="4" t="s">
        <v>23</v>
      </c>
      <c r="B26" s="2">
        <v>4253</v>
      </c>
      <c r="C26" s="2">
        <v>8953</v>
      </c>
      <c r="D26" s="2">
        <v>981</v>
      </c>
      <c r="E26" s="2">
        <v>16545</v>
      </c>
      <c r="F26" s="2">
        <v>19089</v>
      </c>
      <c r="G26" s="2">
        <v>19670</v>
      </c>
      <c r="H26" s="2">
        <v>21525</v>
      </c>
      <c r="I26" s="2">
        <v>12751</v>
      </c>
      <c r="J26" s="2">
        <v>12970</v>
      </c>
      <c r="K26" s="1"/>
      <c r="L26">
        <f t="shared" si="0"/>
        <v>116737</v>
      </c>
    </row>
    <row r="27" spans="1:12" x14ac:dyDescent="0.25">
      <c r="A27" s="4" t="s">
        <v>24</v>
      </c>
      <c r="B27" s="2">
        <v>8506</v>
      </c>
      <c r="C27" s="2">
        <v>17906</v>
      </c>
      <c r="D27" s="2">
        <v>1962</v>
      </c>
      <c r="E27" s="2">
        <v>33090</v>
      </c>
      <c r="F27" s="2">
        <v>38178</v>
      </c>
      <c r="G27" s="2">
        <v>39340</v>
      </c>
      <c r="H27" s="2">
        <v>43050</v>
      </c>
      <c r="I27" s="2">
        <v>25502</v>
      </c>
      <c r="J27" s="2">
        <v>25940</v>
      </c>
      <c r="K27" s="1"/>
      <c r="L27">
        <f t="shared" si="0"/>
        <v>233474</v>
      </c>
    </row>
    <row r="28" spans="1:12" x14ac:dyDescent="0.25">
      <c r="A28" s="4" t="s">
        <v>27</v>
      </c>
      <c r="B28" s="1">
        <v>7</v>
      </c>
      <c r="C28" s="1">
        <v>36</v>
      </c>
      <c r="D28" s="1">
        <v>0</v>
      </c>
      <c r="E28" s="1">
        <v>31</v>
      </c>
      <c r="F28" s="1">
        <v>30</v>
      </c>
      <c r="G28" s="1">
        <v>23</v>
      </c>
      <c r="H28" s="1">
        <v>29</v>
      </c>
      <c r="I28" s="1">
        <v>14</v>
      </c>
      <c r="J28" s="1">
        <v>24</v>
      </c>
      <c r="K28" s="1"/>
      <c r="L28">
        <f t="shared" si="0"/>
        <v>194</v>
      </c>
    </row>
    <row r="29" spans="1:12" x14ac:dyDescent="0.25">
      <c r="A29" s="4" t="s">
        <v>28</v>
      </c>
      <c r="B29" s="1">
        <v>15</v>
      </c>
      <c r="C29" s="1">
        <v>9</v>
      </c>
      <c r="D29" s="1">
        <v>4</v>
      </c>
      <c r="E29" s="1">
        <v>53</v>
      </c>
      <c r="F29" s="1">
        <v>66</v>
      </c>
      <c r="G29" s="1">
        <v>76</v>
      </c>
      <c r="H29" s="1">
        <v>78</v>
      </c>
      <c r="I29" s="1">
        <v>50</v>
      </c>
      <c r="J29" s="1">
        <v>41</v>
      </c>
      <c r="K29" s="1"/>
      <c r="L29">
        <f t="shared" si="0"/>
        <v>392</v>
      </c>
    </row>
    <row r="30" spans="1:12" x14ac:dyDescent="0.25">
      <c r="A30" s="4" t="s">
        <v>60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/>
      <c r="L30">
        <f t="shared" si="0"/>
        <v>2</v>
      </c>
    </row>
    <row r="31" spans="1:12" x14ac:dyDescent="0.25">
      <c r="A31" s="4" t="s">
        <v>29</v>
      </c>
      <c r="B31" s="1">
        <v>22</v>
      </c>
      <c r="C31" s="1">
        <v>45</v>
      </c>
      <c r="D31" s="1">
        <v>5</v>
      </c>
      <c r="E31" s="1">
        <v>84</v>
      </c>
      <c r="F31" s="1">
        <v>96</v>
      </c>
      <c r="G31" s="1">
        <v>99</v>
      </c>
      <c r="H31" s="1">
        <v>108</v>
      </c>
      <c r="I31" s="1">
        <v>64</v>
      </c>
      <c r="J31" s="1">
        <v>65</v>
      </c>
      <c r="K31" s="1"/>
      <c r="L31">
        <f t="shared" si="0"/>
        <v>588</v>
      </c>
    </row>
    <row r="32" spans="1:12" x14ac:dyDescent="0.25">
      <c r="L32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F932-EDCB-4878-84F8-E82E2BBED919}">
  <dimension ref="A1:G24"/>
  <sheetViews>
    <sheetView workbookViewId="0">
      <selection activeCell="E7" sqref="E7"/>
    </sheetView>
  </sheetViews>
  <sheetFormatPr defaultRowHeight="15" x14ac:dyDescent="0.25"/>
  <cols>
    <col min="1" max="1" width="37.42578125" customWidth="1"/>
    <col min="2" max="2" width="34.7109375" customWidth="1"/>
    <col min="3" max="3" width="36.28515625" customWidth="1"/>
    <col min="4" max="4" width="37" customWidth="1"/>
    <col min="5" max="5" width="36" customWidth="1"/>
  </cols>
  <sheetData>
    <row r="1" spans="1:7" ht="25.5" x14ac:dyDescent="0.35">
      <c r="A1" s="14" t="s">
        <v>53</v>
      </c>
      <c r="B1" s="14"/>
      <c r="C1" s="14"/>
      <c r="D1" s="14"/>
      <c r="E1" s="14"/>
      <c r="F1" s="14"/>
      <c r="G1" s="14"/>
    </row>
    <row r="2" spans="1:7" x14ac:dyDescent="0.25">
      <c r="A2" s="1"/>
      <c r="B2" s="3" t="s">
        <v>55</v>
      </c>
      <c r="C2" s="3" t="s">
        <v>56</v>
      </c>
      <c r="D2" s="3" t="s">
        <v>57</v>
      </c>
      <c r="E2" s="3" t="s">
        <v>58</v>
      </c>
    </row>
    <row r="3" spans="1:7" x14ac:dyDescent="0.25">
      <c r="A3" s="4" t="s">
        <v>12</v>
      </c>
      <c r="B3" s="7">
        <v>388333</v>
      </c>
      <c r="C3" s="1" t="s">
        <v>54</v>
      </c>
      <c r="D3" s="7">
        <v>787146</v>
      </c>
      <c r="E3" s="1" t="s">
        <v>54</v>
      </c>
    </row>
    <row r="4" spans="1:7" x14ac:dyDescent="0.25">
      <c r="A4" s="5" t="s">
        <v>13</v>
      </c>
      <c r="B4" s="7">
        <v>29762</v>
      </c>
      <c r="C4" s="1" t="s">
        <v>54</v>
      </c>
      <c r="D4" s="7">
        <v>36266</v>
      </c>
      <c r="E4" s="1" t="s">
        <v>54</v>
      </c>
    </row>
    <row r="5" spans="1:7" x14ac:dyDescent="0.25">
      <c r="A5" s="4" t="s">
        <v>14</v>
      </c>
      <c r="B5" s="1">
        <v>1</v>
      </c>
      <c r="C5" s="1" t="s">
        <v>54</v>
      </c>
      <c r="D5">
        <v>1</v>
      </c>
      <c r="E5" s="1" t="s">
        <v>54</v>
      </c>
    </row>
    <row r="6" spans="1:7" x14ac:dyDescent="0.25">
      <c r="A6" s="4" t="s">
        <v>15</v>
      </c>
      <c r="B6" s="7">
        <v>61</v>
      </c>
      <c r="C6" s="1" t="s">
        <v>54</v>
      </c>
      <c r="D6" s="7">
        <v>120</v>
      </c>
      <c r="E6" s="1" t="s">
        <v>54</v>
      </c>
    </row>
    <row r="7" spans="1:7" x14ac:dyDescent="0.25">
      <c r="A7" s="4" t="s">
        <v>16</v>
      </c>
      <c r="B7" s="1" t="s">
        <v>54</v>
      </c>
      <c r="C7" s="7">
        <v>414216</v>
      </c>
      <c r="D7" s="1" t="s">
        <v>54</v>
      </c>
      <c r="E7" s="7">
        <v>934164</v>
      </c>
    </row>
    <row r="8" spans="1:7" x14ac:dyDescent="0.25">
      <c r="A8" s="5" t="s">
        <v>17</v>
      </c>
      <c r="B8" s="1" t="s">
        <v>54</v>
      </c>
      <c r="C8" s="7">
        <v>41978</v>
      </c>
      <c r="D8" s="1" t="s">
        <v>54</v>
      </c>
      <c r="E8" s="7">
        <v>32318</v>
      </c>
    </row>
    <row r="9" spans="1:7" x14ac:dyDescent="0.25">
      <c r="A9" s="4" t="s">
        <v>18</v>
      </c>
      <c r="B9" s="1" t="s">
        <v>54</v>
      </c>
      <c r="C9" s="1">
        <v>1</v>
      </c>
      <c r="D9" s="1" t="s">
        <v>54</v>
      </c>
      <c r="E9" s="1">
        <v>1</v>
      </c>
    </row>
    <row r="10" spans="1:7" x14ac:dyDescent="0.25">
      <c r="A10" s="4" t="s">
        <v>19</v>
      </c>
      <c r="B10" s="1" t="s">
        <v>54</v>
      </c>
      <c r="C10" s="7">
        <v>65</v>
      </c>
      <c r="D10" s="1" t="s">
        <v>54</v>
      </c>
      <c r="E10" s="7">
        <v>121</v>
      </c>
    </row>
    <row r="11" spans="1:7" x14ac:dyDescent="0.25">
      <c r="A11" s="4" t="s">
        <v>20</v>
      </c>
      <c r="B11" s="7">
        <v>1773151</v>
      </c>
      <c r="C11" s="1" t="s">
        <v>54</v>
      </c>
      <c r="D11" s="7">
        <v>4523008</v>
      </c>
      <c r="E11" s="1" t="s">
        <v>54</v>
      </c>
    </row>
    <row r="12" spans="1:7" x14ac:dyDescent="0.25">
      <c r="A12" s="4" t="s">
        <v>21</v>
      </c>
      <c r="B12" s="1" t="s">
        <v>54</v>
      </c>
      <c r="C12" s="7">
        <v>1617710</v>
      </c>
      <c r="D12" s="1" t="s">
        <v>54</v>
      </c>
      <c r="E12" s="7">
        <v>4228190</v>
      </c>
    </row>
    <row r="13" spans="1:7" x14ac:dyDescent="0.25">
      <c r="A13" s="4" t="s">
        <v>22</v>
      </c>
      <c r="B13" s="7">
        <v>35472</v>
      </c>
      <c r="C13" s="1" t="s">
        <v>54</v>
      </c>
      <c r="D13">
        <v>68295</v>
      </c>
      <c r="E13" s="1" t="s">
        <v>54</v>
      </c>
    </row>
    <row r="14" spans="1:7" x14ac:dyDescent="0.25">
      <c r="A14" s="4" t="s">
        <v>23</v>
      </c>
      <c r="B14" s="1" t="s">
        <v>54</v>
      </c>
      <c r="C14" s="7">
        <v>35472</v>
      </c>
      <c r="D14" s="1" t="s">
        <v>54</v>
      </c>
      <c r="E14" s="7">
        <v>68295</v>
      </c>
    </row>
    <row r="15" spans="1:7" x14ac:dyDescent="0.25">
      <c r="A15" s="5" t="s">
        <v>24</v>
      </c>
      <c r="B15" s="16">
        <v>70944</v>
      </c>
      <c r="C15" s="16"/>
      <c r="D15" s="16">
        <v>136590</v>
      </c>
      <c r="E15" s="16"/>
    </row>
    <row r="16" spans="1:7" x14ac:dyDescent="0.25">
      <c r="A16" s="4" t="s">
        <v>27</v>
      </c>
      <c r="B16" s="16">
        <v>61</v>
      </c>
      <c r="C16" s="16"/>
      <c r="D16" s="16">
        <v>109</v>
      </c>
      <c r="E16" s="16"/>
    </row>
    <row r="17" spans="1:5" x14ac:dyDescent="0.25">
      <c r="A17" s="4" t="s">
        <v>28</v>
      </c>
      <c r="B17" s="16">
        <v>116</v>
      </c>
      <c r="C17" s="16"/>
      <c r="D17" s="16">
        <v>235</v>
      </c>
      <c r="E17" s="16"/>
    </row>
    <row r="18" spans="1:5" x14ac:dyDescent="0.25">
      <c r="A18" s="4" t="s">
        <v>60</v>
      </c>
      <c r="B18" s="17">
        <v>2</v>
      </c>
      <c r="C18" s="17"/>
      <c r="D18" s="16">
        <v>0</v>
      </c>
      <c r="E18" s="16"/>
    </row>
    <row r="19" spans="1:5" x14ac:dyDescent="0.25">
      <c r="A19" s="4" t="s">
        <v>29</v>
      </c>
      <c r="B19" s="16">
        <v>179</v>
      </c>
      <c r="C19" s="16"/>
      <c r="D19" s="16">
        <v>344</v>
      </c>
      <c r="E19" s="16"/>
    </row>
    <row r="24" spans="1:5" ht="20.25" x14ac:dyDescent="0.3">
      <c r="A24" s="15" t="s">
        <v>90</v>
      </c>
      <c r="B24" s="15"/>
      <c r="C24" s="15"/>
      <c r="D24" s="15"/>
      <c r="E24" s="15"/>
    </row>
  </sheetData>
  <mergeCells count="12">
    <mergeCell ref="A1:G1"/>
    <mergeCell ref="A24:E2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9DAB-3682-4EEF-BEC6-DBA9070B9A37}">
  <dimension ref="A1:L32"/>
  <sheetViews>
    <sheetView workbookViewId="0">
      <selection activeCell="I26" sqref="I26"/>
    </sheetView>
  </sheetViews>
  <sheetFormatPr defaultRowHeight="15" x14ac:dyDescent="0.25"/>
  <cols>
    <col min="1" max="1" width="21.7109375" customWidth="1"/>
    <col min="2" max="2" width="20" style="4" customWidth="1"/>
    <col min="3" max="4" width="17.85546875" style="4" customWidth="1"/>
    <col min="5" max="6" width="14.5703125" style="4" customWidth="1"/>
    <col min="7" max="7" width="15.140625" style="4" customWidth="1"/>
    <col min="8" max="8" width="14.140625" style="4" customWidth="1"/>
    <col min="9" max="9" width="14.42578125" style="4" customWidth="1"/>
    <col min="10" max="10" width="13.7109375" customWidth="1"/>
    <col min="11" max="11" width="16.5703125" customWidth="1"/>
  </cols>
  <sheetData>
    <row r="1" spans="1:12" x14ac:dyDescent="0.25">
      <c r="B1" s="18" t="s">
        <v>63</v>
      </c>
      <c r="C1" s="18"/>
      <c r="D1" s="18"/>
      <c r="E1" s="18"/>
      <c r="F1" s="18"/>
      <c r="G1" s="18"/>
      <c r="H1" s="18"/>
      <c r="I1" s="18"/>
    </row>
    <row r="2" spans="1:12" x14ac:dyDescent="0.25">
      <c r="B2" s="18"/>
      <c r="C2" s="18"/>
      <c r="D2" s="18"/>
      <c r="E2" s="18"/>
      <c r="F2" s="18"/>
      <c r="G2" s="18"/>
      <c r="H2" s="18"/>
      <c r="I2" s="18"/>
    </row>
    <row r="3" spans="1:12" x14ac:dyDescent="0.25">
      <c r="B3" s="5" t="s">
        <v>25</v>
      </c>
      <c r="C3" s="5" t="s">
        <v>30</v>
      </c>
      <c r="D3" s="5" t="s">
        <v>32</v>
      </c>
      <c r="E3" s="5" t="s">
        <v>34</v>
      </c>
      <c r="F3" s="5" t="s">
        <v>36</v>
      </c>
      <c r="G3" s="5" t="s">
        <v>38</v>
      </c>
      <c r="H3" s="5" t="s">
        <v>40</v>
      </c>
      <c r="I3" s="5" t="s">
        <v>42</v>
      </c>
      <c r="J3" s="5" t="s">
        <v>87</v>
      </c>
      <c r="K3" s="5" t="s">
        <v>93</v>
      </c>
      <c r="L3" s="5" t="s">
        <v>61</v>
      </c>
    </row>
    <row r="4" spans="1:12" x14ac:dyDescent="0.25">
      <c r="A4" s="4" t="s">
        <v>0</v>
      </c>
      <c r="B4" s="6">
        <v>2103</v>
      </c>
      <c r="C4" s="6">
        <v>4980</v>
      </c>
      <c r="D4" s="6">
        <v>788</v>
      </c>
      <c r="E4" s="6">
        <v>6704</v>
      </c>
      <c r="F4" s="2">
        <v>7750</v>
      </c>
      <c r="G4" s="6">
        <v>597</v>
      </c>
      <c r="H4" s="6">
        <v>12151</v>
      </c>
      <c r="I4" s="2">
        <v>399</v>
      </c>
      <c r="J4" s="2">
        <v>6185</v>
      </c>
      <c r="L4">
        <f>SUM(B4:K4)</f>
        <v>41657</v>
      </c>
    </row>
    <row r="5" spans="1:12" x14ac:dyDescent="0.25">
      <c r="A5" s="4" t="s">
        <v>1</v>
      </c>
      <c r="B5" s="6">
        <v>2103</v>
      </c>
      <c r="C5" s="6">
        <v>4980</v>
      </c>
      <c r="D5" s="6">
        <v>788</v>
      </c>
      <c r="E5" s="6">
        <v>6704</v>
      </c>
      <c r="F5" s="2">
        <v>7750</v>
      </c>
      <c r="G5" s="6">
        <v>597</v>
      </c>
      <c r="H5" s="6">
        <v>12151</v>
      </c>
      <c r="I5" s="2">
        <v>399</v>
      </c>
      <c r="J5" s="2">
        <v>6185</v>
      </c>
      <c r="L5">
        <f t="shared" ref="L5:L32" si="0">SUM(B5:K5)</f>
        <v>41657</v>
      </c>
    </row>
    <row r="6" spans="1:12" x14ac:dyDescent="0.25">
      <c r="A6" s="4" t="s">
        <v>2</v>
      </c>
      <c r="B6" s="6">
        <v>4206</v>
      </c>
      <c r="C6" s="6">
        <v>9960</v>
      </c>
      <c r="D6" s="6">
        <v>1576</v>
      </c>
      <c r="E6" s="6">
        <v>13408</v>
      </c>
      <c r="F6" s="2">
        <v>15500</v>
      </c>
      <c r="G6" s="6">
        <v>1194</v>
      </c>
      <c r="H6" s="6">
        <v>24302</v>
      </c>
      <c r="I6" s="2">
        <v>798</v>
      </c>
      <c r="J6" s="2">
        <v>12370</v>
      </c>
      <c r="L6">
        <f t="shared" si="0"/>
        <v>83314</v>
      </c>
    </row>
    <row r="7" spans="1:12" x14ac:dyDescent="0.25">
      <c r="A7" s="4" t="s">
        <v>3</v>
      </c>
      <c r="B7" s="6"/>
      <c r="C7" s="6"/>
      <c r="D7" s="6"/>
      <c r="E7" s="6"/>
      <c r="F7" s="2"/>
      <c r="G7" s="6"/>
      <c r="H7" s="6"/>
      <c r="I7" s="2"/>
      <c r="J7" s="2"/>
      <c r="L7">
        <f t="shared" si="0"/>
        <v>0</v>
      </c>
    </row>
    <row r="8" spans="1:12" x14ac:dyDescent="0.25">
      <c r="A8" s="4" t="s">
        <v>4</v>
      </c>
      <c r="B8" s="6"/>
      <c r="C8" s="6"/>
      <c r="D8" s="6"/>
      <c r="E8" s="6"/>
      <c r="F8" s="2"/>
      <c r="G8" s="6"/>
      <c r="H8" s="6"/>
      <c r="I8" s="2"/>
      <c r="J8" s="2"/>
      <c r="L8">
        <f t="shared" si="0"/>
        <v>0</v>
      </c>
    </row>
    <row r="9" spans="1:12" x14ac:dyDescent="0.25">
      <c r="A9" s="5" t="s">
        <v>5</v>
      </c>
      <c r="B9" s="6"/>
      <c r="C9" s="6"/>
      <c r="D9" s="6"/>
      <c r="E9" s="6"/>
      <c r="F9" s="2"/>
      <c r="G9" s="6"/>
      <c r="H9" s="6"/>
      <c r="I9" s="2"/>
      <c r="J9" s="2"/>
      <c r="L9">
        <f t="shared" si="0"/>
        <v>0</v>
      </c>
    </row>
    <row r="10" spans="1:12" x14ac:dyDescent="0.25">
      <c r="A10" s="4" t="s">
        <v>6</v>
      </c>
      <c r="B10" s="6"/>
      <c r="C10" s="6"/>
      <c r="D10" s="6"/>
      <c r="E10" s="6"/>
      <c r="F10" s="2"/>
      <c r="G10" s="6"/>
      <c r="H10" s="6"/>
      <c r="I10" s="2"/>
      <c r="J10" s="2"/>
      <c r="L10">
        <f t="shared" si="0"/>
        <v>0</v>
      </c>
    </row>
    <row r="11" spans="1:12" x14ac:dyDescent="0.25">
      <c r="A11" s="4" t="s">
        <v>7</v>
      </c>
      <c r="B11" s="6"/>
      <c r="C11" s="6"/>
      <c r="D11" s="6"/>
      <c r="E11" s="6"/>
      <c r="F11" s="2"/>
      <c r="G11" s="6"/>
      <c r="H11" s="6"/>
      <c r="I11" s="2"/>
      <c r="J11" s="2"/>
      <c r="L11">
        <f t="shared" si="0"/>
        <v>0</v>
      </c>
    </row>
    <row r="12" spans="1:12" x14ac:dyDescent="0.25">
      <c r="A12" s="5" t="s">
        <v>8</v>
      </c>
      <c r="B12" s="6"/>
      <c r="C12" s="6"/>
      <c r="D12" s="6"/>
      <c r="E12" s="6"/>
      <c r="F12" s="2"/>
      <c r="G12" s="6"/>
      <c r="H12" s="6"/>
      <c r="I12" s="2"/>
      <c r="J12" s="2"/>
      <c r="L12">
        <f t="shared" si="0"/>
        <v>0</v>
      </c>
    </row>
    <row r="13" spans="1:12" x14ac:dyDescent="0.25">
      <c r="A13" s="4" t="s">
        <v>9</v>
      </c>
      <c r="B13" s="6">
        <v>7988.4960000000001</v>
      </c>
      <c r="C13" s="6">
        <v>40588.44</v>
      </c>
      <c r="D13" s="6">
        <v>6357.6750000000002</v>
      </c>
      <c r="E13" s="6">
        <v>38018.339999999997</v>
      </c>
      <c r="F13" s="2">
        <v>22965.87</v>
      </c>
      <c r="G13" s="6">
        <v>1810.347</v>
      </c>
      <c r="H13" s="6">
        <v>97684.28</v>
      </c>
      <c r="I13" s="2">
        <v>2557.1840000000002</v>
      </c>
      <c r="J13" s="2">
        <v>38892.61</v>
      </c>
      <c r="L13">
        <f t="shared" si="0"/>
        <v>256863.24199999997</v>
      </c>
    </row>
    <row r="14" spans="1:12" x14ac:dyDescent="0.25">
      <c r="A14" s="4" t="s">
        <v>10</v>
      </c>
      <c r="B14" s="6">
        <v>8252.5190000000002</v>
      </c>
      <c r="C14" s="6">
        <v>45333.42</v>
      </c>
      <c r="D14" s="6">
        <v>7587.4989999999998</v>
      </c>
      <c r="E14" s="6">
        <v>41731.230000000003</v>
      </c>
      <c r="F14" s="2">
        <v>23360.02</v>
      </c>
      <c r="G14" s="6">
        <v>1826.4749999999999</v>
      </c>
      <c r="H14" s="6">
        <v>122805.4</v>
      </c>
      <c r="I14" s="2">
        <v>3454.8049999999998</v>
      </c>
      <c r="J14" s="2">
        <v>48906.6</v>
      </c>
      <c r="L14">
        <f t="shared" si="0"/>
        <v>303257.96799999999</v>
      </c>
    </row>
    <row r="15" spans="1:12" x14ac:dyDescent="0.25">
      <c r="A15" s="4" t="s">
        <v>11</v>
      </c>
      <c r="B15" s="6">
        <v>16241.01</v>
      </c>
      <c r="C15" s="6">
        <v>85921.86</v>
      </c>
      <c r="D15" s="6">
        <v>13945.17</v>
      </c>
      <c r="E15" s="6">
        <v>79749.58</v>
      </c>
      <c r="F15" s="2">
        <v>46325.89</v>
      </c>
      <c r="G15" s="6">
        <v>3636.8209999999999</v>
      </c>
      <c r="H15" s="6">
        <v>220489.7</v>
      </c>
      <c r="I15" s="2">
        <v>6011.9889999999996</v>
      </c>
      <c r="J15" s="2">
        <v>87799.22</v>
      </c>
      <c r="L15">
        <f t="shared" si="0"/>
        <v>560121.24</v>
      </c>
    </row>
    <row r="16" spans="1:12" x14ac:dyDescent="0.25">
      <c r="A16" s="4" t="s">
        <v>12</v>
      </c>
      <c r="B16" s="6">
        <v>16327</v>
      </c>
      <c r="C16" s="6">
        <v>58205</v>
      </c>
      <c r="D16" s="6">
        <v>10103</v>
      </c>
      <c r="E16" s="6">
        <v>71266</v>
      </c>
      <c r="F16" s="2">
        <v>23911</v>
      </c>
      <c r="G16" s="6">
        <v>1366</v>
      </c>
      <c r="H16" s="6">
        <v>199262</v>
      </c>
      <c r="I16" s="2">
        <v>6265</v>
      </c>
      <c r="J16" s="2">
        <v>80982</v>
      </c>
      <c r="L16">
        <f t="shared" si="0"/>
        <v>467687</v>
      </c>
    </row>
    <row r="17" spans="1:12" x14ac:dyDescent="0.25">
      <c r="A17" s="5" t="s">
        <v>13</v>
      </c>
      <c r="B17" s="6"/>
      <c r="C17" s="6"/>
      <c r="D17" s="6"/>
      <c r="E17" s="6"/>
      <c r="F17" s="2"/>
      <c r="G17" s="6"/>
      <c r="H17" s="6"/>
      <c r="I17" s="2"/>
      <c r="J17" s="2"/>
      <c r="L17">
        <f t="shared" si="0"/>
        <v>0</v>
      </c>
    </row>
    <row r="18" spans="1:12" x14ac:dyDescent="0.25">
      <c r="A18" s="4" t="s">
        <v>14</v>
      </c>
      <c r="B18" s="6"/>
      <c r="C18" s="6"/>
      <c r="D18" s="6"/>
      <c r="E18" s="6"/>
      <c r="F18" s="2"/>
      <c r="G18" s="6"/>
      <c r="H18" s="6"/>
      <c r="I18" s="2"/>
      <c r="J18" s="2"/>
      <c r="L18">
        <f t="shared" si="0"/>
        <v>0</v>
      </c>
    </row>
    <row r="19" spans="1:12" x14ac:dyDescent="0.25">
      <c r="A19" s="4" t="s">
        <v>15</v>
      </c>
      <c r="B19" s="6"/>
      <c r="C19" s="6"/>
      <c r="D19" s="6"/>
      <c r="E19" s="6"/>
      <c r="F19" s="2"/>
      <c r="G19" s="6"/>
      <c r="H19" s="6"/>
      <c r="I19" s="2"/>
      <c r="J19" s="2"/>
      <c r="L19">
        <f t="shared" si="0"/>
        <v>0</v>
      </c>
    </row>
    <row r="20" spans="1:12" x14ac:dyDescent="0.25">
      <c r="A20" s="4" t="s">
        <v>16</v>
      </c>
      <c r="B20" s="6">
        <v>16672</v>
      </c>
      <c r="C20" s="6">
        <v>61131</v>
      </c>
      <c r="D20" s="6">
        <v>10362</v>
      </c>
      <c r="E20" s="6">
        <v>72632</v>
      </c>
      <c r="F20" s="2">
        <v>19558</v>
      </c>
      <c r="G20" s="6">
        <v>1206</v>
      </c>
      <c r="H20" s="6">
        <v>221792</v>
      </c>
      <c r="I20" s="2">
        <v>6598</v>
      </c>
      <c r="J20" s="2">
        <v>85622</v>
      </c>
      <c r="L20">
        <f t="shared" si="0"/>
        <v>495573</v>
      </c>
    </row>
    <row r="21" spans="1:12" x14ac:dyDescent="0.25">
      <c r="A21" s="5" t="s">
        <v>17</v>
      </c>
      <c r="B21" s="6"/>
      <c r="C21" s="6"/>
      <c r="D21" s="6"/>
      <c r="E21" s="6"/>
      <c r="F21" s="2"/>
      <c r="G21" s="6"/>
      <c r="H21" s="6"/>
      <c r="I21" s="2"/>
      <c r="J21" s="2"/>
      <c r="L21">
        <f t="shared" si="0"/>
        <v>0</v>
      </c>
    </row>
    <row r="22" spans="1:12" x14ac:dyDescent="0.25">
      <c r="A22" s="4" t="s">
        <v>18</v>
      </c>
      <c r="B22" s="6"/>
      <c r="C22" s="6"/>
      <c r="D22" s="6"/>
      <c r="E22" s="6"/>
      <c r="F22" s="2"/>
      <c r="G22" s="6"/>
      <c r="H22" s="6"/>
      <c r="I22" s="2"/>
      <c r="J22" s="2"/>
      <c r="L22">
        <f t="shared" si="0"/>
        <v>0</v>
      </c>
    </row>
    <row r="23" spans="1:12" x14ac:dyDescent="0.25">
      <c r="A23" s="4" t="s">
        <v>19</v>
      </c>
      <c r="B23" s="6"/>
      <c r="C23" s="6"/>
      <c r="D23" s="6"/>
      <c r="E23" s="6"/>
      <c r="F23" s="2"/>
      <c r="G23" s="6"/>
      <c r="H23" s="6"/>
      <c r="I23" s="2"/>
      <c r="J23" s="2"/>
      <c r="L23">
        <f t="shared" si="0"/>
        <v>0</v>
      </c>
    </row>
    <row r="24" spans="1:12" x14ac:dyDescent="0.25">
      <c r="A24" s="4" t="s">
        <v>20</v>
      </c>
      <c r="B24" s="6">
        <v>67342</v>
      </c>
      <c r="C24" s="6">
        <v>260964</v>
      </c>
      <c r="D24" s="6">
        <v>45136</v>
      </c>
      <c r="E24" s="6">
        <v>302487</v>
      </c>
      <c r="F24" s="2">
        <v>138072</v>
      </c>
      <c r="G24" s="6">
        <v>8071</v>
      </c>
      <c r="H24" s="6">
        <v>905313</v>
      </c>
      <c r="I24" s="2">
        <v>27418</v>
      </c>
      <c r="J24" s="2">
        <v>344642</v>
      </c>
      <c r="L24">
        <f t="shared" si="0"/>
        <v>2099445</v>
      </c>
    </row>
    <row r="25" spans="1:12" x14ac:dyDescent="0.25">
      <c r="A25" s="4" t="s">
        <v>21</v>
      </c>
      <c r="B25" s="6">
        <v>57314</v>
      </c>
      <c r="C25" s="6">
        <v>232610</v>
      </c>
      <c r="D25" s="6">
        <v>39711</v>
      </c>
      <c r="E25" s="6">
        <v>260127</v>
      </c>
      <c r="F25" s="2">
        <v>108201</v>
      </c>
      <c r="G25" s="6">
        <v>7490</v>
      </c>
      <c r="H25" s="6">
        <v>859021</v>
      </c>
      <c r="I25" s="2">
        <v>25008</v>
      </c>
      <c r="J25" s="2">
        <v>296031</v>
      </c>
      <c r="L25">
        <f t="shared" si="0"/>
        <v>1885513</v>
      </c>
    </row>
    <row r="26" spans="1:12" x14ac:dyDescent="0.25">
      <c r="A26" s="4" t="s">
        <v>22</v>
      </c>
      <c r="B26" s="6">
        <v>2103</v>
      </c>
      <c r="C26" s="6">
        <v>4980</v>
      </c>
      <c r="D26" s="6">
        <v>788</v>
      </c>
      <c r="E26" s="6">
        <v>6704</v>
      </c>
      <c r="F26" s="2">
        <v>7750</v>
      </c>
      <c r="G26" s="6">
        <v>597</v>
      </c>
      <c r="H26" s="6">
        <v>12151</v>
      </c>
      <c r="I26" s="2">
        <v>399</v>
      </c>
      <c r="J26" s="2">
        <v>6185</v>
      </c>
      <c r="L26">
        <f t="shared" si="0"/>
        <v>41657</v>
      </c>
    </row>
    <row r="27" spans="1:12" x14ac:dyDescent="0.25">
      <c r="A27" s="4" t="s">
        <v>23</v>
      </c>
      <c r="B27" s="6">
        <v>2103</v>
      </c>
      <c r="C27" s="6">
        <v>4980</v>
      </c>
      <c r="D27" s="6">
        <v>788</v>
      </c>
      <c r="E27" s="6">
        <v>6704</v>
      </c>
      <c r="F27" s="2">
        <v>7750</v>
      </c>
      <c r="G27" s="6">
        <v>597</v>
      </c>
      <c r="H27" s="6">
        <v>12151</v>
      </c>
      <c r="I27" s="2">
        <v>399</v>
      </c>
      <c r="J27" s="2">
        <v>6185</v>
      </c>
      <c r="L27">
        <f t="shared" si="0"/>
        <v>41657</v>
      </c>
    </row>
    <row r="28" spans="1:12" x14ac:dyDescent="0.25">
      <c r="A28" s="4" t="s">
        <v>24</v>
      </c>
      <c r="B28" s="6">
        <v>4206</v>
      </c>
      <c r="C28" s="6">
        <v>9960</v>
      </c>
      <c r="D28" s="6">
        <v>1576</v>
      </c>
      <c r="E28" s="6">
        <v>13408</v>
      </c>
      <c r="F28" s="2">
        <v>15500</v>
      </c>
      <c r="G28" s="6">
        <v>1194</v>
      </c>
      <c r="H28" s="6">
        <v>24302</v>
      </c>
      <c r="I28" s="2">
        <v>798</v>
      </c>
      <c r="J28" s="2">
        <v>12370</v>
      </c>
      <c r="L28">
        <f t="shared" si="0"/>
        <v>83314</v>
      </c>
    </row>
    <row r="29" spans="1:12" x14ac:dyDescent="0.25">
      <c r="A29" s="4" t="s">
        <v>27</v>
      </c>
      <c r="B29" s="4">
        <v>4</v>
      </c>
      <c r="C29" s="4">
        <v>21</v>
      </c>
      <c r="D29" s="4">
        <v>0</v>
      </c>
      <c r="E29" s="4">
        <v>13</v>
      </c>
      <c r="F29" s="4">
        <v>6</v>
      </c>
      <c r="G29" s="4">
        <v>1</v>
      </c>
      <c r="H29" s="4">
        <v>16</v>
      </c>
      <c r="I29" s="4">
        <v>0</v>
      </c>
      <c r="J29" s="4">
        <v>10</v>
      </c>
      <c r="L29">
        <f t="shared" si="0"/>
        <v>71</v>
      </c>
    </row>
    <row r="30" spans="1:12" x14ac:dyDescent="0.25">
      <c r="A30" s="4" t="s">
        <v>28</v>
      </c>
      <c r="B30" s="4">
        <v>7</v>
      </c>
      <c r="C30" s="4">
        <v>4</v>
      </c>
      <c r="D30" s="4">
        <v>3</v>
      </c>
      <c r="E30" s="4">
        <v>21</v>
      </c>
      <c r="F30" s="4">
        <v>33</v>
      </c>
      <c r="G30" s="4">
        <v>2</v>
      </c>
      <c r="H30" s="4">
        <v>44</v>
      </c>
      <c r="I30" s="4">
        <v>2</v>
      </c>
      <c r="J30" s="4">
        <v>21</v>
      </c>
      <c r="L30">
        <f t="shared" si="0"/>
        <v>137</v>
      </c>
    </row>
    <row r="31" spans="1:12" x14ac:dyDescent="0.25">
      <c r="A31" s="4" t="s">
        <v>60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L31">
        <f t="shared" si="0"/>
        <v>2</v>
      </c>
    </row>
    <row r="32" spans="1:12" x14ac:dyDescent="0.25">
      <c r="A32" s="4" t="s">
        <v>29</v>
      </c>
      <c r="B32" s="4">
        <v>11</v>
      </c>
      <c r="C32" s="4">
        <v>25</v>
      </c>
      <c r="D32" s="4">
        <v>4</v>
      </c>
      <c r="E32" s="4">
        <v>34</v>
      </c>
      <c r="F32" s="4">
        <v>39</v>
      </c>
      <c r="G32" s="4">
        <v>3</v>
      </c>
      <c r="H32" s="4">
        <v>61</v>
      </c>
      <c r="I32" s="4">
        <v>2</v>
      </c>
      <c r="J32" s="4">
        <v>31</v>
      </c>
      <c r="L32">
        <f t="shared" si="0"/>
        <v>210</v>
      </c>
    </row>
  </sheetData>
  <mergeCells count="1">
    <mergeCell ref="B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55FD-FA95-4976-9ACA-30582C5D6BE4}">
  <dimension ref="A1:L32"/>
  <sheetViews>
    <sheetView topLeftCell="E1" workbookViewId="0">
      <selection activeCell="H21" sqref="H21:J23"/>
    </sheetView>
  </sheetViews>
  <sheetFormatPr defaultRowHeight="15" x14ac:dyDescent="0.25"/>
  <cols>
    <col min="1" max="1" width="31.7109375" customWidth="1"/>
    <col min="2" max="2" width="23.85546875" style="4" customWidth="1"/>
    <col min="3" max="3" width="22.5703125" style="4" customWidth="1"/>
    <col min="4" max="4" width="22.28515625" style="4" customWidth="1"/>
    <col min="5" max="5" width="20.85546875" style="4" customWidth="1"/>
    <col min="6" max="6" width="21.7109375" style="4" customWidth="1"/>
    <col min="7" max="7" width="20.5703125" style="4" customWidth="1"/>
    <col min="8" max="8" width="20.140625" style="4" customWidth="1"/>
    <col min="9" max="9" width="20.85546875" style="4" customWidth="1"/>
    <col min="10" max="10" width="23.42578125" customWidth="1"/>
    <col min="11" max="11" width="21.85546875" customWidth="1"/>
  </cols>
  <sheetData>
    <row r="1" spans="1:12" ht="15" customHeight="1" x14ac:dyDescent="0.25">
      <c r="A1" s="18" t="s">
        <v>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5">
      <c r="B3" s="5" t="s">
        <v>26</v>
      </c>
      <c r="C3" s="5" t="s">
        <v>31</v>
      </c>
      <c r="D3" s="5" t="s">
        <v>33</v>
      </c>
      <c r="E3" s="5" t="s">
        <v>35</v>
      </c>
      <c r="F3" s="5" t="s">
        <v>37</v>
      </c>
      <c r="G3" s="5" t="s">
        <v>39</v>
      </c>
      <c r="H3" s="5" t="s">
        <v>41</v>
      </c>
      <c r="I3" s="5" t="s">
        <v>43</v>
      </c>
      <c r="J3" s="5" t="s">
        <v>88</v>
      </c>
      <c r="K3" s="5" t="s">
        <v>94</v>
      </c>
      <c r="L3" s="5" t="s">
        <v>61</v>
      </c>
    </row>
    <row r="4" spans="1:12" x14ac:dyDescent="0.25">
      <c r="A4" s="4" t="s">
        <v>0</v>
      </c>
      <c r="B4" s="6">
        <v>2150</v>
      </c>
      <c r="C4" s="6">
        <v>3973</v>
      </c>
      <c r="D4" s="6">
        <v>193</v>
      </c>
      <c r="E4" s="6">
        <v>9841</v>
      </c>
      <c r="F4" s="2">
        <v>11339</v>
      </c>
      <c r="G4" s="6">
        <v>19073</v>
      </c>
      <c r="H4" s="6">
        <v>9374</v>
      </c>
      <c r="I4" s="2">
        <v>12352</v>
      </c>
      <c r="J4" s="2">
        <v>6785</v>
      </c>
      <c r="L4">
        <f>SUM(B4:K4)</f>
        <v>75080</v>
      </c>
    </row>
    <row r="5" spans="1:12" x14ac:dyDescent="0.25">
      <c r="A5" s="4" t="s">
        <v>1</v>
      </c>
      <c r="B5" s="6">
        <v>2150</v>
      </c>
      <c r="C5" s="6">
        <v>3973</v>
      </c>
      <c r="D5" s="6">
        <v>193</v>
      </c>
      <c r="E5" s="6">
        <v>9841</v>
      </c>
      <c r="F5" s="2">
        <v>11339</v>
      </c>
      <c r="G5" s="6">
        <v>19073</v>
      </c>
      <c r="H5" s="6">
        <v>9374</v>
      </c>
      <c r="I5" s="2">
        <v>12352</v>
      </c>
      <c r="J5" s="2">
        <v>6785</v>
      </c>
      <c r="L5">
        <f t="shared" ref="L5:L32" si="0">SUM(B5:K5)</f>
        <v>75080</v>
      </c>
    </row>
    <row r="6" spans="1:12" x14ac:dyDescent="0.25">
      <c r="A6" s="4" t="s">
        <v>2</v>
      </c>
      <c r="B6" s="6">
        <v>4300</v>
      </c>
      <c r="C6" s="6">
        <v>7946</v>
      </c>
      <c r="D6" s="6">
        <v>386</v>
      </c>
      <c r="E6" s="6">
        <v>19682</v>
      </c>
      <c r="F6" s="2">
        <v>22678</v>
      </c>
      <c r="G6" s="6">
        <v>38146</v>
      </c>
      <c r="H6" s="6">
        <v>18748</v>
      </c>
      <c r="I6" s="2">
        <v>24704</v>
      </c>
      <c r="J6" s="2">
        <v>13570</v>
      </c>
      <c r="L6">
        <f t="shared" si="0"/>
        <v>150160</v>
      </c>
    </row>
    <row r="7" spans="1:12" x14ac:dyDescent="0.25">
      <c r="A7" s="4" t="s">
        <v>3</v>
      </c>
      <c r="B7" s="6"/>
      <c r="C7" s="6"/>
      <c r="D7" s="6"/>
      <c r="E7" s="6"/>
      <c r="F7" s="2"/>
      <c r="G7" s="6"/>
      <c r="H7" s="6"/>
      <c r="I7" s="2"/>
      <c r="J7" s="2"/>
      <c r="L7">
        <f t="shared" si="0"/>
        <v>0</v>
      </c>
    </row>
    <row r="8" spans="1:12" x14ac:dyDescent="0.25">
      <c r="A8" s="4" t="s">
        <v>4</v>
      </c>
      <c r="B8" s="6"/>
      <c r="C8" s="6"/>
      <c r="D8" s="6"/>
      <c r="E8" s="6"/>
      <c r="F8" s="2"/>
      <c r="G8" s="6"/>
      <c r="H8" s="6"/>
      <c r="I8" s="2"/>
      <c r="J8" s="2"/>
      <c r="L8">
        <f t="shared" si="0"/>
        <v>0</v>
      </c>
    </row>
    <row r="9" spans="1:12" x14ac:dyDescent="0.25">
      <c r="A9" s="5" t="s">
        <v>5</v>
      </c>
      <c r="B9" s="6"/>
      <c r="C9" s="6"/>
      <c r="D9" s="6"/>
      <c r="E9" s="6"/>
      <c r="F9" s="2"/>
      <c r="G9" s="6"/>
      <c r="H9" s="6"/>
      <c r="I9" s="2"/>
      <c r="J9" s="2"/>
      <c r="L9">
        <f t="shared" si="0"/>
        <v>0</v>
      </c>
    </row>
    <row r="10" spans="1:12" x14ac:dyDescent="0.25">
      <c r="A10" s="4" t="s">
        <v>6</v>
      </c>
      <c r="B10" s="6"/>
      <c r="C10" s="6"/>
      <c r="D10" s="6"/>
      <c r="E10" s="6"/>
      <c r="F10" s="2"/>
      <c r="G10" s="6"/>
      <c r="H10" s="6"/>
      <c r="I10" s="2"/>
      <c r="J10" s="2"/>
      <c r="L10">
        <f t="shared" si="0"/>
        <v>0</v>
      </c>
    </row>
    <row r="11" spans="1:12" x14ac:dyDescent="0.25">
      <c r="A11" s="4" t="s">
        <v>7</v>
      </c>
      <c r="B11" s="6"/>
      <c r="C11" s="6"/>
      <c r="D11" s="6"/>
      <c r="E11" s="6"/>
      <c r="F11" s="2"/>
      <c r="G11" s="6"/>
      <c r="H11" s="6"/>
      <c r="I11" s="2"/>
      <c r="J11" s="2"/>
      <c r="L11">
        <f t="shared" si="0"/>
        <v>0</v>
      </c>
    </row>
    <row r="12" spans="1:12" x14ac:dyDescent="0.25">
      <c r="A12" s="5" t="s">
        <v>8</v>
      </c>
      <c r="B12" s="6"/>
      <c r="C12" s="6"/>
      <c r="D12" s="6"/>
      <c r="E12" s="6"/>
      <c r="F12" s="2"/>
      <c r="G12" s="6"/>
      <c r="H12" s="6"/>
      <c r="I12" s="2"/>
      <c r="J12" s="2"/>
      <c r="L12">
        <f t="shared" si="0"/>
        <v>0</v>
      </c>
    </row>
    <row r="13" spans="1:12" x14ac:dyDescent="0.25">
      <c r="A13" s="4" t="s">
        <v>9</v>
      </c>
      <c r="B13" s="6">
        <v>20973.25</v>
      </c>
      <c r="C13" s="6">
        <v>38242.85</v>
      </c>
      <c r="D13" s="6">
        <v>2276.011</v>
      </c>
      <c r="E13" s="6">
        <v>76222.53</v>
      </c>
      <c r="F13" s="2">
        <v>89483.75</v>
      </c>
      <c r="G13" s="6">
        <v>141540.42689999999</v>
      </c>
      <c r="H13" s="6">
        <v>78183.656350000005</v>
      </c>
      <c r="I13" s="2">
        <v>102862.32610000001</v>
      </c>
      <c r="J13" s="2">
        <v>59229.202579999997</v>
      </c>
      <c r="L13">
        <f t="shared" si="0"/>
        <v>609014.00293000008</v>
      </c>
    </row>
    <row r="14" spans="1:12" x14ac:dyDescent="0.25">
      <c r="A14" s="4" t="s">
        <v>10</v>
      </c>
      <c r="B14" s="6">
        <v>20899</v>
      </c>
      <c r="C14" s="6">
        <v>43805.1</v>
      </c>
      <c r="D14" s="6">
        <v>2549.6750000000002</v>
      </c>
      <c r="E14" s="6">
        <v>85603.96</v>
      </c>
      <c r="F14" s="2">
        <v>106225.1</v>
      </c>
      <c r="G14" s="6">
        <v>169664.7262</v>
      </c>
      <c r="H14" s="6">
        <v>92506.879860000001</v>
      </c>
      <c r="I14" s="2">
        <v>123888.4206</v>
      </c>
      <c r="J14" s="2">
        <v>72257.834959999993</v>
      </c>
      <c r="L14">
        <f t="shared" si="0"/>
        <v>717400.69661999994</v>
      </c>
    </row>
    <row r="15" spans="1:12" x14ac:dyDescent="0.25">
      <c r="A15" s="4" t="s">
        <v>11</v>
      </c>
      <c r="B15" s="6">
        <v>41872.25</v>
      </c>
      <c r="C15" s="6">
        <v>82047.95</v>
      </c>
      <c r="D15" s="6">
        <v>4825.6850000000004</v>
      </c>
      <c r="E15" s="6">
        <v>161826.5</v>
      </c>
      <c r="F15" s="2">
        <v>195708.9</v>
      </c>
      <c r="G15" s="6">
        <v>311205.13709999999</v>
      </c>
      <c r="H15" s="6">
        <v>170690.5362</v>
      </c>
      <c r="I15" s="2">
        <v>226750.74669999999</v>
      </c>
      <c r="J15" s="23">
        <v>131487.04000000001</v>
      </c>
      <c r="L15">
        <f t="shared" si="0"/>
        <v>1326414.7450000001</v>
      </c>
    </row>
    <row r="16" spans="1:12" x14ac:dyDescent="0.25">
      <c r="A16" s="4" t="s">
        <v>12</v>
      </c>
      <c r="B16" s="6">
        <v>24077</v>
      </c>
      <c r="C16" s="6">
        <v>43992</v>
      </c>
      <c r="D16" s="6">
        <v>2270</v>
      </c>
      <c r="E16" s="6">
        <v>92964</v>
      </c>
      <c r="F16" s="2">
        <v>137081</v>
      </c>
      <c r="G16" s="6">
        <v>221697</v>
      </c>
      <c r="H16" s="6">
        <v>112114</v>
      </c>
      <c r="I16" s="2">
        <v>142823</v>
      </c>
      <c r="J16" s="2">
        <v>79622</v>
      </c>
      <c r="L16">
        <f t="shared" si="0"/>
        <v>856640</v>
      </c>
    </row>
    <row r="17" spans="1:12" x14ac:dyDescent="0.25">
      <c r="A17" s="5" t="s">
        <v>13</v>
      </c>
      <c r="B17" s="6"/>
      <c r="C17" s="6"/>
      <c r="D17" s="6"/>
      <c r="E17" s="6"/>
      <c r="F17" s="2"/>
      <c r="G17" s="6"/>
      <c r="H17" s="6"/>
      <c r="I17" s="2"/>
      <c r="J17" s="2"/>
      <c r="L17">
        <f t="shared" si="0"/>
        <v>0</v>
      </c>
    </row>
    <row r="18" spans="1:12" x14ac:dyDescent="0.25">
      <c r="A18" s="4" t="s">
        <v>14</v>
      </c>
      <c r="B18" s="6"/>
      <c r="C18" s="6"/>
      <c r="D18" s="6"/>
      <c r="E18" s="6"/>
      <c r="F18" s="2"/>
      <c r="G18" s="6"/>
      <c r="H18" s="6"/>
      <c r="I18" s="2"/>
      <c r="J18" s="2"/>
      <c r="L18">
        <f t="shared" si="0"/>
        <v>0</v>
      </c>
    </row>
    <row r="19" spans="1:12" x14ac:dyDescent="0.25">
      <c r="A19" s="4" t="s">
        <v>15</v>
      </c>
      <c r="B19" s="6"/>
      <c r="C19" s="6"/>
      <c r="D19" s="6"/>
      <c r="E19" s="6"/>
      <c r="F19" s="2"/>
      <c r="G19" s="6"/>
      <c r="H19" s="6"/>
      <c r="I19" s="2"/>
      <c r="J19" s="2"/>
      <c r="L19">
        <f t="shared" si="0"/>
        <v>0</v>
      </c>
    </row>
    <row r="20" spans="1:12" x14ac:dyDescent="0.25">
      <c r="A20" s="4" t="s">
        <v>16</v>
      </c>
      <c r="B20" s="6">
        <v>27575</v>
      </c>
      <c r="C20" s="6">
        <v>50648</v>
      </c>
      <c r="D20" s="6">
        <v>2654</v>
      </c>
      <c r="E20" s="6">
        <v>105452</v>
      </c>
      <c r="F20" s="2">
        <v>158769</v>
      </c>
      <c r="G20" s="6">
        <v>260441</v>
      </c>
      <c r="H20" s="6">
        <v>141021</v>
      </c>
      <c r="I20" s="2">
        <v>176279</v>
      </c>
      <c r="J20" s="2">
        <v>97209</v>
      </c>
      <c r="L20">
        <f t="shared" si="0"/>
        <v>1020048</v>
      </c>
    </row>
    <row r="21" spans="1:12" x14ac:dyDescent="0.25">
      <c r="A21" s="5" t="s">
        <v>17</v>
      </c>
      <c r="B21" s="6"/>
      <c r="C21" s="6"/>
      <c r="D21" s="6"/>
      <c r="E21" s="6"/>
      <c r="F21" s="2"/>
      <c r="G21" s="6"/>
      <c r="H21" s="6"/>
      <c r="I21" s="2"/>
      <c r="J21" s="2"/>
      <c r="L21">
        <f t="shared" si="0"/>
        <v>0</v>
      </c>
    </row>
    <row r="22" spans="1:12" x14ac:dyDescent="0.25">
      <c r="A22" s="4" t="s">
        <v>18</v>
      </c>
      <c r="B22" s="6"/>
      <c r="C22" s="6"/>
      <c r="D22" s="6"/>
      <c r="E22" s="6"/>
      <c r="F22" s="2"/>
      <c r="G22" s="6"/>
      <c r="H22" s="6"/>
      <c r="I22" s="2"/>
      <c r="J22" s="2"/>
      <c r="L22">
        <f t="shared" si="0"/>
        <v>0</v>
      </c>
    </row>
    <row r="23" spans="1:12" x14ac:dyDescent="0.25">
      <c r="A23" s="4" t="s">
        <v>19</v>
      </c>
      <c r="B23" s="6"/>
      <c r="C23" s="6"/>
      <c r="D23" s="6"/>
      <c r="E23" s="6"/>
      <c r="F23" s="2"/>
      <c r="G23" s="6"/>
      <c r="H23" s="6"/>
      <c r="I23" s="2"/>
      <c r="J23" s="2"/>
      <c r="L23">
        <f t="shared" si="0"/>
        <v>0</v>
      </c>
    </row>
    <row r="24" spans="1:12" x14ac:dyDescent="0.25">
      <c r="A24" s="4" t="s">
        <v>20</v>
      </c>
      <c r="B24" s="6">
        <v>126520</v>
      </c>
      <c r="C24" s="6">
        <v>239259</v>
      </c>
      <c r="D24" s="6">
        <v>11618</v>
      </c>
      <c r="E24" s="6">
        <v>478975</v>
      </c>
      <c r="F24" s="2">
        <v>761000</v>
      </c>
      <c r="G24" s="6">
        <v>1285341</v>
      </c>
      <c r="H24" s="6">
        <v>657910</v>
      </c>
      <c r="I24" s="2">
        <v>837633</v>
      </c>
      <c r="J24" s="2">
        <v>470233</v>
      </c>
      <c r="L24">
        <f t="shared" si="0"/>
        <v>4868489</v>
      </c>
    </row>
    <row r="25" spans="1:12" x14ac:dyDescent="0.25">
      <c r="A25" s="4" t="s">
        <v>21</v>
      </c>
      <c r="B25" s="6">
        <v>113785</v>
      </c>
      <c r="C25" s="6">
        <v>213037</v>
      </c>
      <c r="D25" s="6">
        <v>10841</v>
      </c>
      <c r="E25" s="6">
        <v>426289</v>
      </c>
      <c r="F25" s="2">
        <v>677054</v>
      </c>
      <c r="G25" s="6">
        <v>1175105</v>
      </c>
      <c r="H25" s="6">
        <v>643768</v>
      </c>
      <c r="I25" s="2">
        <v>820918</v>
      </c>
      <c r="J25" s="2">
        <v>464903</v>
      </c>
      <c r="L25">
        <f t="shared" si="0"/>
        <v>4545700</v>
      </c>
    </row>
    <row r="26" spans="1:12" x14ac:dyDescent="0.25">
      <c r="A26" s="4" t="s">
        <v>22</v>
      </c>
      <c r="B26" s="6">
        <v>2150</v>
      </c>
      <c r="C26" s="6">
        <v>3973</v>
      </c>
      <c r="D26" s="6">
        <v>193</v>
      </c>
      <c r="E26" s="6">
        <v>9841</v>
      </c>
      <c r="F26" s="2">
        <v>11339</v>
      </c>
      <c r="G26" s="6">
        <v>19073</v>
      </c>
      <c r="H26" s="6">
        <v>9374</v>
      </c>
      <c r="I26" s="2">
        <v>12352</v>
      </c>
      <c r="J26" s="2">
        <v>6785</v>
      </c>
      <c r="L26">
        <f t="shared" si="0"/>
        <v>75080</v>
      </c>
    </row>
    <row r="27" spans="1:12" x14ac:dyDescent="0.25">
      <c r="A27" s="4" t="s">
        <v>23</v>
      </c>
      <c r="B27" s="6">
        <v>2150</v>
      </c>
      <c r="C27" s="6">
        <v>3973</v>
      </c>
      <c r="D27" s="6">
        <v>193</v>
      </c>
      <c r="E27" s="6">
        <v>9841</v>
      </c>
      <c r="F27" s="2">
        <v>11339</v>
      </c>
      <c r="G27" s="6">
        <v>19073</v>
      </c>
      <c r="H27" s="6">
        <v>9374</v>
      </c>
      <c r="I27" s="2">
        <v>12352</v>
      </c>
      <c r="J27" s="2">
        <v>6785</v>
      </c>
      <c r="L27">
        <f t="shared" si="0"/>
        <v>75080</v>
      </c>
    </row>
    <row r="28" spans="1:12" x14ac:dyDescent="0.25">
      <c r="A28" s="4" t="s">
        <v>24</v>
      </c>
      <c r="B28" s="6">
        <v>4300</v>
      </c>
      <c r="C28" s="6">
        <v>7946</v>
      </c>
      <c r="D28" s="6">
        <v>386</v>
      </c>
      <c r="E28" s="6">
        <v>19682</v>
      </c>
      <c r="F28" s="2">
        <v>22678</v>
      </c>
      <c r="G28" s="6">
        <v>38146</v>
      </c>
      <c r="H28" s="6">
        <v>18748</v>
      </c>
      <c r="I28" s="2">
        <v>24704</v>
      </c>
      <c r="J28" s="2">
        <v>13570</v>
      </c>
      <c r="L28">
        <f t="shared" si="0"/>
        <v>150160</v>
      </c>
    </row>
    <row r="29" spans="1:12" x14ac:dyDescent="0.25">
      <c r="A29" s="4" t="s">
        <v>27</v>
      </c>
      <c r="B29" s="4">
        <v>3</v>
      </c>
      <c r="C29" s="4">
        <v>15</v>
      </c>
      <c r="D29" s="4">
        <v>0</v>
      </c>
      <c r="E29" s="4">
        <v>18</v>
      </c>
      <c r="F29" s="4">
        <v>24</v>
      </c>
      <c r="G29" s="4">
        <v>22</v>
      </c>
      <c r="H29" s="4">
        <v>13</v>
      </c>
      <c r="I29" s="4">
        <v>14</v>
      </c>
      <c r="J29" s="4">
        <v>14</v>
      </c>
      <c r="L29">
        <f t="shared" si="0"/>
        <v>123</v>
      </c>
    </row>
    <row r="30" spans="1:12" x14ac:dyDescent="0.25">
      <c r="A30" s="4" t="s">
        <v>28</v>
      </c>
      <c r="B30" s="4">
        <v>8</v>
      </c>
      <c r="C30" s="4">
        <v>5</v>
      </c>
      <c r="D30" s="4">
        <v>1</v>
      </c>
      <c r="E30" s="4">
        <v>32</v>
      </c>
      <c r="F30" s="4">
        <v>33</v>
      </c>
      <c r="G30" s="4">
        <v>74</v>
      </c>
      <c r="H30" s="4">
        <v>34</v>
      </c>
      <c r="I30" s="4">
        <v>48</v>
      </c>
      <c r="J30" s="4">
        <v>20</v>
      </c>
      <c r="L30">
        <f t="shared" si="0"/>
        <v>255</v>
      </c>
    </row>
    <row r="31" spans="1:12" x14ac:dyDescent="0.25">
      <c r="A31" s="4" t="s">
        <v>60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L31">
        <f t="shared" si="0"/>
        <v>0</v>
      </c>
    </row>
    <row r="32" spans="1:12" x14ac:dyDescent="0.25">
      <c r="A32" s="4" t="s">
        <v>29</v>
      </c>
      <c r="B32" s="4">
        <v>11</v>
      </c>
      <c r="C32" s="4">
        <v>20</v>
      </c>
      <c r="D32" s="4">
        <v>1</v>
      </c>
      <c r="E32" s="4">
        <v>50</v>
      </c>
      <c r="F32" s="4">
        <v>57</v>
      </c>
      <c r="G32" s="4">
        <v>96</v>
      </c>
      <c r="H32" s="4">
        <v>47</v>
      </c>
      <c r="I32" s="4">
        <v>62</v>
      </c>
      <c r="J32" s="4">
        <v>34</v>
      </c>
      <c r="L32">
        <f t="shared" si="0"/>
        <v>378</v>
      </c>
    </row>
  </sheetData>
  <mergeCells count="1">
    <mergeCell ref="A1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FC18-B00C-455B-BE45-772448D49B58}">
  <dimension ref="A1:G19"/>
  <sheetViews>
    <sheetView workbookViewId="0">
      <selection activeCell="D12" sqref="D12"/>
    </sheetView>
  </sheetViews>
  <sheetFormatPr defaultRowHeight="15" x14ac:dyDescent="0.25"/>
  <cols>
    <col min="1" max="1" width="34.28515625" customWidth="1"/>
    <col min="2" max="2" width="32" customWidth="1"/>
    <col min="3" max="3" width="33.5703125" customWidth="1"/>
    <col min="4" max="4" width="39.42578125" customWidth="1"/>
    <col min="5" max="5" width="39.85546875" customWidth="1"/>
    <col min="7" max="7" width="68.5703125" customWidth="1"/>
  </cols>
  <sheetData>
    <row r="1" spans="1:7" ht="25.5" x14ac:dyDescent="0.35">
      <c r="A1" s="14" t="s">
        <v>59</v>
      </c>
      <c r="B1" s="14"/>
      <c r="C1" s="14"/>
      <c r="D1" s="14"/>
      <c r="E1" s="14"/>
      <c r="F1" s="14"/>
      <c r="G1" s="14"/>
    </row>
    <row r="2" spans="1:7" x14ac:dyDescent="0.25">
      <c r="A2" s="1"/>
      <c r="B2" s="3" t="s">
        <v>55</v>
      </c>
      <c r="C2" s="3" t="s">
        <v>56</v>
      </c>
      <c r="D2" s="3" t="s">
        <v>57</v>
      </c>
      <c r="E2" s="3" t="s">
        <v>58</v>
      </c>
    </row>
    <row r="3" spans="1:7" x14ac:dyDescent="0.25">
      <c r="A3" s="4" t="s">
        <v>0</v>
      </c>
      <c r="B3" s="7">
        <v>35472</v>
      </c>
      <c r="C3" t="s">
        <v>54</v>
      </c>
      <c r="D3">
        <v>68295</v>
      </c>
      <c r="E3" t="s">
        <v>54</v>
      </c>
    </row>
    <row r="4" spans="1:7" x14ac:dyDescent="0.25">
      <c r="A4" s="4" t="s">
        <v>1</v>
      </c>
      <c r="B4" t="s">
        <v>54</v>
      </c>
      <c r="C4" s="7">
        <v>35472</v>
      </c>
      <c r="D4" t="s">
        <v>54</v>
      </c>
      <c r="E4">
        <v>68295</v>
      </c>
    </row>
    <row r="5" spans="1:7" x14ac:dyDescent="0.25">
      <c r="A5" s="4" t="s">
        <v>2</v>
      </c>
      <c r="B5" s="16">
        <v>70944</v>
      </c>
      <c r="C5" s="16"/>
      <c r="D5" s="16">
        <v>136590</v>
      </c>
      <c r="E5" s="16"/>
    </row>
    <row r="6" spans="1:7" x14ac:dyDescent="0.25">
      <c r="A6" s="4" t="s">
        <v>3</v>
      </c>
      <c r="B6" s="8">
        <v>0.341333</v>
      </c>
      <c r="C6" t="s">
        <v>54</v>
      </c>
      <c r="D6" s="8">
        <v>0.83591800000000005</v>
      </c>
      <c r="E6" t="s">
        <v>54</v>
      </c>
    </row>
    <row r="7" spans="1:7" x14ac:dyDescent="0.25">
      <c r="A7" s="4" t="s">
        <v>4</v>
      </c>
      <c r="B7" s="8">
        <v>54.241813999999998</v>
      </c>
      <c r="C7" t="s">
        <v>54</v>
      </c>
      <c r="D7" s="8">
        <v>93.44</v>
      </c>
      <c r="E7" t="s">
        <v>54</v>
      </c>
    </row>
    <row r="8" spans="1:7" x14ac:dyDescent="0.25">
      <c r="A8" s="5" t="s">
        <v>5</v>
      </c>
      <c r="B8">
        <v>6.14</v>
      </c>
      <c r="D8">
        <v>8.0500000000000007</v>
      </c>
    </row>
    <row r="9" spans="1:7" x14ac:dyDescent="0.25">
      <c r="A9" s="4" t="s">
        <v>6</v>
      </c>
      <c r="B9" t="s">
        <v>54</v>
      </c>
      <c r="C9" s="8">
        <v>0.37151899999999999</v>
      </c>
      <c r="D9" t="s">
        <v>54</v>
      </c>
      <c r="E9" s="8">
        <v>0.37151899999999999</v>
      </c>
    </row>
    <row r="10" spans="1:7" x14ac:dyDescent="0.25">
      <c r="A10" s="4" t="s">
        <v>7</v>
      </c>
      <c r="B10" t="s">
        <v>54</v>
      </c>
      <c r="C10" s="8">
        <v>50.346666999999997</v>
      </c>
      <c r="D10" t="s">
        <v>54</v>
      </c>
      <c r="E10" s="8">
        <v>83.712000000000003</v>
      </c>
    </row>
    <row r="11" spans="1:7" x14ac:dyDescent="0.25">
      <c r="A11" s="5" t="s">
        <v>8</v>
      </c>
      <c r="C11">
        <v>7.17</v>
      </c>
      <c r="E11">
        <v>9.4499999999999993</v>
      </c>
    </row>
    <row r="12" spans="1:7" x14ac:dyDescent="0.25">
      <c r="A12" s="4" t="s">
        <v>9</v>
      </c>
      <c r="B12" s="13">
        <v>217970.63241799999</v>
      </c>
      <c r="C12" t="s">
        <v>54</v>
      </c>
      <c r="D12" s="13">
        <v>549784.79207700002</v>
      </c>
      <c r="E12" t="s">
        <v>54</v>
      </c>
    </row>
    <row r="13" spans="1:7" x14ac:dyDescent="0.25">
      <c r="A13" s="4" t="s">
        <v>10</v>
      </c>
      <c r="B13" t="s">
        <v>54</v>
      </c>
      <c r="C13" s="13">
        <v>254351.394986</v>
      </c>
      <c r="D13" t="s">
        <v>54</v>
      </c>
      <c r="E13" s="13">
        <v>645142.90113699995</v>
      </c>
    </row>
    <row r="14" spans="1:7" x14ac:dyDescent="0.25">
      <c r="A14" s="5" t="s">
        <v>11</v>
      </c>
      <c r="B14" s="19">
        <v>472322.02498599997</v>
      </c>
      <c r="C14" s="17"/>
      <c r="D14" s="20">
        <v>1194927.691137</v>
      </c>
      <c r="E14" s="20"/>
    </row>
    <row r="15" spans="1:7" x14ac:dyDescent="0.25">
      <c r="A15" s="4" t="s">
        <v>27</v>
      </c>
      <c r="B15" s="16">
        <v>61</v>
      </c>
      <c r="C15" s="16"/>
      <c r="D15" s="16">
        <v>109</v>
      </c>
      <c r="E15" s="16"/>
    </row>
    <row r="16" spans="1:7" x14ac:dyDescent="0.25">
      <c r="A16" s="4" t="s">
        <v>28</v>
      </c>
      <c r="B16" s="16">
        <v>116</v>
      </c>
      <c r="C16" s="16"/>
      <c r="D16" s="16">
        <v>235</v>
      </c>
      <c r="E16" s="16"/>
    </row>
    <row r="17" spans="1:5" x14ac:dyDescent="0.25">
      <c r="A17" s="4" t="s">
        <v>60</v>
      </c>
      <c r="B17" s="17">
        <v>2</v>
      </c>
      <c r="C17" s="17"/>
      <c r="D17" s="16">
        <v>0</v>
      </c>
      <c r="E17" s="16"/>
    </row>
    <row r="18" spans="1:5" x14ac:dyDescent="0.25">
      <c r="A18" s="4" t="s">
        <v>29</v>
      </c>
      <c r="B18" s="16">
        <v>179</v>
      </c>
      <c r="C18" s="16"/>
      <c r="D18" s="16">
        <v>344</v>
      </c>
      <c r="E18" s="16"/>
    </row>
    <row r="19" spans="1:5" ht="20.25" x14ac:dyDescent="0.3">
      <c r="A19" s="15" t="s">
        <v>89</v>
      </c>
      <c r="B19" s="15"/>
      <c r="C19" s="15"/>
      <c r="D19" s="15"/>
      <c r="E19" s="15"/>
    </row>
  </sheetData>
  <mergeCells count="14">
    <mergeCell ref="A1:G1"/>
    <mergeCell ref="A19:E19"/>
    <mergeCell ref="B5:C5"/>
    <mergeCell ref="B14:C14"/>
    <mergeCell ref="B15:C15"/>
    <mergeCell ref="B16:C16"/>
    <mergeCell ref="B17:C17"/>
    <mergeCell ref="B18:C18"/>
    <mergeCell ref="D5:E5"/>
    <mergeCell ref="D14:E14"/>
    <mergeCell ref="D15:E15"/>
    <mergeCell ref="D16:E16"/>
    <mergeCell ref="D17:E17"/>
    <mergeCell ref="D18:E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CABC-173F-4D46-B012-25D2280684F3}">
  <dimension ref="A1:DA46"/>
  <sheetViews>
    <sheetView topLeftCell="CG1" zoomScale="87" zoomScaleNormal="87" workbookViewId="0">
      <selection activeCell="CZ30" sqref="CZ30"/>
    </sheetView>
  </sheetViews>
  <sheetFormatPr defaultRowHeight="15" x14ac:dyDescent="0.25"/>
  <cols>
    <col min="1" max="1" width="27.7109375" customWidth="1"/>
    <col min="13" max="13" width="9.140625" customWidth="1"/>
    <col min="70" max="70" width="19" customWidth="1"/>
    <col min="101" max="102" width="9.140625" customWidth="1"/>
    <col min="104" max="104" width="19" customWidth="1"/>
    <col min="105" max="105" width="20.140625" customWidth="1"/>
  </cols>
  <sheetData>
    <row r="1" spans="1:105" ht="26.25" x14ac:dyDescent="0.4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05" ht="24" x14ac:dyDescent="0.4">
      <c r="A2" s="21" t="s">
        <v>82</v>
      </c>
      <c r="B2" s="21"/>
      <c r="C2" s="21"/>
      <c r="D2" s="21"/>
      <c r="E2" s="21"/>
      <c r="F2" s="21"/>
      <c r="G2" s="21"/>
      <c r="H2" s="21"/>
      <c r="I2" s="21"/>
      <c r="CZ2" s="9" t="s">
        <v>83</v>
      </c>
      <c r="DA2" s="9" t="s">
        <v>85</v>
      </c>
    </row>
    <row r="3" spans="1:105" x14ac:dyDescent="0.25">
      <c r="A3" s="1" t="s">
        <v>3</v>
      </c>
      <c r="B3" s="1"/>
      <c r="C3" s="1">
        <v>2.0433560000000002</v>
      </c>
      <c r="D3" s="1">
        <v>2.2291159999999999</v>
      </c>
      <c r="E3" s="1">
        <v>2.3893330000000002</v>
      </c>
      <c r="F3" s="1">
        <v>1.1946669999999999</v>
      </c>
      <c r="G3" s="1">
        <v>1.536</v>
      </c>
      <c r="H3" s="1">
        <v>1.1946669999999999</v>
      </c>
      <c r="I3" s="1">
        <v>0.93866700000000003</v>
      </c>
      <c r="J3" s="1">
        <v>2.048</v>
      </c>
      <c r="K3" s="1">
        <v>1.1093329999999999</v>
      </c>
      <c r="L3" s="1">
        <v>1.536</v>
      </c>
      <c r="M3" s="1"/>
      <c r="CZ3">
        <f>MIN(B3:CX3)</f>
        <v>0.93866700000000003</v>
      </c>
      <c r="DA3" s="9" t="s">
        <v>64</v>
      </c>
    </row>
    <row r="4" spans="1:105" x14ac:dyDescent="0.25">
      <c r="A4" s="1" t="s">
        <v>3</v>
      </c>
      <c r="B4" s="1">
        <v>1.792</v>
      </c>
      <c r="C4" s="1">
        <v>3.3279999999999998</v>
      </c>
      <c r="D4" s="1">
        <v>3.436553</v>
      </c>
      <c r="E4" s="1">
        <v>2.9866670000000002</v>
      </c>
      <c r="F4" s="1">
        <v>2.56</v>
      </c>
      <c r="G4">
        <v>1.792</v>
      </c>
      <c r="H4">
        <v>3.754667</v>
      </c>
      <c r="I4">
        <v>3.6223130000000001</v>
      </c>
      <c r="J4">
        <v>2.9013330000000002</v>
      </c>
      <c r="K4">
        <v>3.6223130000000001</v>
      </c>
      <c r="L4">
        <v>2.3039999999999998</v>
      </c>
      <c r="M4">
        <v>1.9626669999999999</v>
      </c>
      <c r="N4">
        <v>3.3279999999999998</v>
      </c>
      <c r="O4">
        <v>2.048</v>
      </c>
      <c r="P4">
        <v>2.3893330000000002</v>
      </c>
      <c r="Q4">
        <v>3.4986670000000002</v>
      </c>
      <c r="R4">
        <v>3.4133330000000002</v>
      </c>
      <c r="S4">
        <v>1.9504760000000001</v>
      </c>
      <c r="T4">
        <v>1.792</v>
      </c>
      <c r="U4">
        <v>2.1333329999999999</v>
      </c>
      <c r="V4">
        <v>2.3039999999999998</v>
      </c>
      <c r="W4">
        <v>0.51200000000000001</v>
      </c>
      <c r="X4">
        <v>1.792</v>
      </c>
      <c r="Y4">
        <v>1.8773329999999999</v>
      </c>
      <c r="Z4">
        <v>1.28</v>
      </c>
      <c r="CZ4">
        <f t="shared" ref="CZ4:CZ12" si="0">MIN(B4:CX4)</f>
        <v>0.51200000000000001</v>
      </c>
      <c r="DA4" s="9" t="s">
        <v>75</v>
      </c>
    </row>
    <row r="5" spans="1:105" x14ac:dyDescent="0.25">
      <c r="A5" s="1" t="s">
        <v>3</v>
      </c>
      <c r="B5" s="1">
        <v>3.0720000000000001</v>
      </c>
      <c r="C5" s="1">
        <v>3.242667</v>
      </c>
      <c r="D5" s="1">
        <v>2.3039999999999998</v>
      </c>
      <c r="E5" s="1">
        <v>1.7066669999999999</v>
      </c>
      <c r="F5" s="1"/>
      <c r="L5" s="1"/>
      <c r="CZ5">
        <f t="shared" si="0"/>
        <v>1.7066669999999999</v>
      </c>
      <c r="DA5" s="9" t="s">
        <v>76</v>
      </c>
    </row>
    <row r="6" spans="1:105" x14ac:dyDescent="0.25">
      <c r="A6" s="1" t="s">
        <v>3</v>
      </c>
      <c r="B6" s="1">
        <v>2.56</v>
      </c>
      <c r="C6" s="1">
        <v>2.048</v>
      </c>
      <c r="D6" s="1">
        <v>1.536</v>
      </c>
      <c r="E6" s="1">
        <v>0.68266700000000002</v>
      </c>
      <c r="F6" s="1">
        <v>2.9866670000000002</v>
      </c>
      <c r="G6">
        <v>1.8773329999999999</v>
      </c>
      <c r="H6">
        <v>1.7066669999999999</v>
      </c>
      <c r="I6">
        <v>1.28</v>
      </c>
      <c r="J6">
        <v>1.6213329999999999</v>
      </c>
      <c r="K6">
        <v>1.28</v>
      </c>
      <c r="L6">
        <v>2.2186669999999999</v>
      </c>
      <c r="M6">
        <v>1.4506669999999999</v>
      </c>
      <c r="N6">
        <v>1.6213329999999999</v>
      </c>
      <c r="O6">
        <v>1.4506669999999999</v>
      </c>
      <c r="P6">
        <v>1.3653329999999999</v>
      </c>
      <c r="Q6">
        <v>1.9626669999999999</v>
      </c>
      <c r="R6">
        <v>2.4746670000000002</v>
      </c>
      <c r="S6">
        <v>1.8773329999999999</v>
      </c>
      <c r="T6">
        <v>1.5789569999999999</v>
      </c>
      <c r="U6">
        <v>1.536</v>
      </c>
      <c r="V6">
        <v>3.5840000000000001</v>
      </c>
      <c r="W6">
        <v>2.2186669999999999</v>
      </c>
      <c r="X6">
        <v>1.4506669999999999</v>
      </c>
      <c r="Y6">
        <v>1.9626669999999999</v>
      </c>
      <c r="Z6">
        <v>3.242667</v>
      </c>
      <c r="AA6">
        <v>1.3653329999999999</v>
      </c>
      <c r="AB6">
        <v>1.536</v>
      </c>
      <c r="AC6">
        <v>1.9504760000000001</v>
      </c>
      <c r="AD6">
        <v>2.730667</v>
      </c>
      <c r="AE6">
        <v>1.9504760000000001</v>
      </c>
      <c r="AF6">
        <v>1.28</v>
      </c>
      <c r="AG6">
        <v>1.9626669999999999</v>
      </c>
      <c r="AH6">
        <v>1.7066669999999999</v>
      </c>
      <c r="AI6">
        <v>3.1573329999999999</v>
      </c>
      <c r="AM6" s="1"/>
      <c r="CZ6">
        <f t="shared" si="0"/>
        <v>0.68266700000000002</v>
      </c>
      <c r="DA6" s="9" t="s">
        <v>77</v>
      </c>
    </row>
    <row r="7" spans="1:105" x14ac:dyDescent="0.25">
      <c r="A7" s="1" t="s">
        <v>3</v>
      </c>
      <c r="B7" s="1">
        <v>1.7066669999999999</v>
      </c>
      <c r="C7" s="1">
        <v>1.9626669999999999</v>
      </c>
      <c r="D7" s="1">
        <v>1.792</v>
      </c>
      <c r="E7" s="1">
        <v>1.28</v>
      </c>
      <c r="F7" s="1">
        <v>1.792</v>
      </c>
      <c r="G7">
        <v>1.28</v>
      </c>
      <c r="H7">
        <v>2.0433560000000002</v>
      </c>
      <c r="I7">
        <v>1.024</v>
      </c>
      <c r="J7">
        <v>1.792</v>
      </c>
      <c r="K7">
        <v>1.28</v>
      </c>
      <c r="L7">
        <v>1.1093329999999999</v>
      </c>
      <c r="M7">
        <v>1.1093329999999999</v>
      </c>
      <c r="N7">
        <v>1.7066669999999999</v>
      </c>
      <c r="O7">
        <v>1.1946669999999999</v>
      </c>
      <c r="P7">
        <v>2.6453329999999999</v>
      </c>
      <c r="Q7">
        <v>1.1946669999999999</v>
      </c>
      <c r="R7">
        <v>1.9626669999999999</v>
      </c>
      <c r="S7">
        <v>1.6213329999999999</v>
      </c>
      <c r="T7">
        <v>1.1093329999999999</v>
      </c>
      <c r="U7">
        <v>1.8773329999999999</v>
      </c>
      <c r="V7">
        <v>1.8773329999999999</v>
      </c>
      <c r="W7">
        <v>1.4506669999999999</v>
      </c>
      <c r="X7">
        <v>1.28</v>
      </c>
      <c r="Y7">
        <v>1.8773329999999999</v>
      </c>
      <c r="Z7">
        <v>2.048</v>
      </c>
      <c r="AA7">
        <v>0.597333</v>
      </c>
      <c r="AB7">
        <v>2.2186669999999999</v>
      </c>
      <c r="AC7">
        <v>2.048</v>
      </c>
      <c r="AD7">
        <v>1.9626669999999999</v>
      </c>
      <c r="AE7">
        <v>1.4506669999999999</v>
      </c>
      <c r="AF7">
        <v>1.6213329999999999</v>
      </c>
      <c r="AG7">
        <v>1.1946669999999999</v>
      </c>
      <c r="AH7">
        <v>1.8773329999999999</v>
      </c>
      <c r="AI7">
        <v>1.28</v>
      </c>
      <c r="AJ7">
        <v>0.341333</v>
      </c>
      <c r="AK7">
        <v>1.4506669999999999</v>
      </c>
      <c r="AL7">
        <v>2.1362359999999998</v>
      </c>
      <c r="AM7">
        <v>2.56</v>
      </c>
      <c r="AN7">
        <v>1.0216780000000001</v>
      </c>
      <c r="AO7" s="1"/>
      <c r="CZ7">
        <f t="shared" si="0"/>
        <v>0.341333</v>
      </c>
      <c r="DA7" s="9" t="s">
        <v>78</v>
      </c>
    </row>
    <row r="8" spans="1:105" x14ac:dyDescent="0.25">
      <c r="A8" s="1" t="s">
        <v>3</v>
      </c>
      <c r="B8">
        <v>1.9626669999999999</v>
      </c>
      <c r="C8">
        <v>1.4506669999999999</v>
      </c>
      <c r="D8">
        <v>2.1333329999999999</v>
      </c>
      <c r="J8" s="1"/>
      <c r="CZ8">
        <f t="shared" si="0"/>
        <v>1.4506669999999999</v>
      </c>
      <c r="DA8" s="9" t="s">
        <v>79</v>
      </c>
    </row>
    <row r="9" spans="1:105" x14ac:dyDescent="0.25">
      <c r="A9" s="1" t="s">
        <v>3</v>
      </c>
      <c r="B9">
        <v>3.0720000000000001</v>
      </c>
      <c r="C9">
        <v>2.6453329999999999</v>
      </c>
      <c r="D9">
        <v>2.1333329999999999</v>
      </c>
      <c r="E9">
        <v>3.0720000000000001</v>
      </c>
      <c r="F9">
        <v>2.9013330000000002</v>
      </c>
      <c r="G9">
        <v>2.6453329999999999</v>
      </c>
      <c r="H9">
        <v>2.8159999999999998</v>
      </c>
      <c r="I9">
        <v>3.4133330000000002</v>
      </c>
      <c r="J9">
        <v>2.56</v>
      </c>
      <c r="K9">
        <v>1.6213329999999999</v>
      </c>
      <c r="L9">
        <v>2.1362359999999998</v>
      </c>
      <c r="M9">
        <v>2.9866670000000002</v>
      </c>
      <c r="N9">
        <v>1.792</v>
      </c>
      <c r="O9">
        <v>2.3893330000000002</v>
      </c>
      <c r="P9">
        <v>2.3893330000000002</v>
      </c>
      <c r="Q9">
        <v>2.4746670000000002</v>
      </c>
      <c r="R9">
        <v>2.3893330000000002</v>
      </c>
      <c r="S9">
        <v>3.242667</v>
      </c>
      <c r="T9">
        <v>4.3520000000000003</v>
      </c>
      <c r="U9">
        <v>2.6453329999999999</v>
      </c>
      <c r="V9">
        <v>2.730667</v>
      </c>
      <c r="W9">
        <v>3.3279999999999998</v>
      </c>
      <c r="X9">
        <v>2.730667</v>
      </c>
      <c r="Y9">
        <v>1.3003169999999999</v>
      </c>
      <c r="Z9">
        <v>2.8159999999999998</v>
      </c>
      <c r="AA9">
        <v>2.3893330000000002</v>
      </c>
      <c r="AB9">
        <v>2.9866670000000002</v>
      </c>
      <c r="AC9">
        <v>3.4133330000000002</v>
      </c>
      <c r="AD9">
        <v>3.754667</v>
      </c>
      <c r="AE9">
        <v>2.4746670000000002</v>
      </c>
      <c r="AF9">
        <v>2.9866670000000002</v>
      </c>
      <c r="AG9">
        <v>2.56</v>
      </c>
      <c r="AH9">
        <v>2.4148749999999999</v>
      </c>
      <c r="AI9">
        <v>2.4148749999999999</v>
      </c>
      <c r="AJ9">
        <v>2.600635</v>
      </c>
      <c r="AK9">
        <v>2.9013330000000002</v>
      </c>
      <c r="AL9">
        <v>1.6213329999999999</v>
      </c>
      <c r="AM9">
        <v>3.1573329999999999</v>
      </c>
      <c r="AN9">
        <v>1.770667</v>
      </c>
      <c r="AO9">
        <v>2.3039999999999998</v>
      </c>
      <c r="AP9">
        <v>1.4506669999999999</v>
      </c>
      <c r="AQ9">
        <v>1.8773329999999999</v>
      </c>
      <c r="AR9">
        <v>1.6213329999999999</v>
      </c>
      <c r="AS9">
        <v>2.6453329999999999</v>
      </c>
      <c r="AT9">
        <v>1.4860770000000001</v>
      </c>
      <c r="AU9">
        <v>1.3653329999999999</v>
      </c>
      <c r="AV9">
        <v>2.1333329999999999</v>
      </c>
      <c r="AW9">
        <v>1.1946669999999999</v>
      </c>
      <c r="AX9">
        <v>1.536</v>
      </c>
      <c r="AY9">
        <v>1.792</v>
      </c>
      <c r="AZ9">
        <v>2.2186669999999999</v>
      </c>
      <c r="BA9">
        <v>2.4746670000000002</v>
      </c>
      <c r="BB9">
        <v>2.8159999999999998</v>
      </c>
      <c r="BC9">
        <v>1.8773329999999999</v>
      </c>
      <c r="BD9">
        <v>2.2186669999999999</v>
      </c>
      <c r="BE9">
        <v>2.1333329999999999</v>
      </c>
      <c r="BF9">
        <v>2.3039999999999998</v>
      </c>
      <c r="BG9">
        <v>1.4506669999999999</v>
      </c>
      <c r="BH9">
        <v>1.9626669999999999</v>
      </c>
      <c r="BI9">
        <v>2.730667</v>
      </c>
      <c r="BJ9">
        <v>1.024</v>
      </c>
      <c r="BN9" s="1"/>
      <c r="CZ9">
        <f t="shared" si="0"/>
        <v>1.024</v>
      </c>
      <c r="DA9" s="9" t="s">
        <v>81</v>
      </c>
    </row>
    <row r="10" spans="1:105" x14ac:dyDescent="0.25">
      <c r="A10" s="1" t="s">
        <v>3</v>
      </c>
      <c r="B10">
        <v>2.3893330000000002</v>
      </c>
      <c r="C10">
        <v>1.1946669999999999</v>
      </c>
      <c r="CZ10">
        <f t="shared" si="0"/>
        <v>1.1946669999999999</v>
      </c>
      <c r="DA10" s="9" t="s">
        <v>80</v>
      </c>
    </row>
    <row r="11" spans="1:105" x14ac:dyDescent="0.25">
      <c r="A11" s="1" t="s">
        <v>3</v>
      </c>
      <c r="B11">
        <v>3.1573329999999999</v>
      </c>
      <c r="C11">
        <v>1.9626669999999999</v>
      </c>
      <c r="D11">
        <v>1.3653329999999999</v>
      </c>
      <c r="E11">
        <v>2.8159999999999998</v>
      </c>
      <c r="F11">
        <v>1.792</v>
      </c>
      <c r="G11">
        <v>1.6213329999999999</v>
      </c>
      <c r="H11">
        <v>2.3893330000000002</v>
      </c>
      <c r="I11">
        <v>1.6213329999999999</v>
      </c>
      <c r="J11">
        <v>1.3653329999999999</v>
      </c>
      <c r="K11">
        <v>2.3039999999999998</v>
      </c>
      <c r="L11">
        <v>2.56</v>
      </c>
      <c r="M11">
        <v>2.3893330000000002</v>
      </c>
      <c r="N11">
        <v>1.8773329999999999</v>
      </c>
      <c r="O11">
        <v>1.792</v>
      </c>
      <c r="P11">
        <v>1.28</v>
      </c>
      <c r="Q11">
        <v>1.9626669999999999</v>
      </c>
      <c r="R11">
        <v>2.2186669999999999</v>
      </c>
      <c r="S11">
        <v>2.048</v>
      </c>
      <c r="T11">
        <v>2.730667</v>
      </c>
      <c r="U11">
        <v>2.9013330000000002</v>
      </c>
      <c r="V11">
        <v>3.1579139999999999</v>
      </c>
      <c r="W11">
        <v>1.7647170000000001</v>
      </c>
      <c r="X11">
        <v>1.9626669999999999</v>
      </c>
      <c r="Y11">
        <v>2.2291159999999999</v>
      </c>
      <c r="Z11">
        <v>2.1333329999999999</v>
      </c>
      <c r="AA11">
        <v>1.857596</v>
      </c>
      <c r="AB11">
        <v>0.93866700000000003</v>
      </c>
      <c r="AC11">
        <v>1.4506669999999999</v>
      </c>
      <c r="AD11">
        <v>1.9626669999999999</v>
      </c>
      <c r="AE11">
        <v>1.7066669999999999</v>
      </c>
      <c r="AF11">
        <v>2.2186669999999999</v>
      </c>
      <c r="BN11" s="1"/>
      <c r="CZ11">
        <f t="shared" si="0"/>
        <v>0.93866700000000003</v>
      </c>
      <c r="DA11" s="9" t="s">
        <v>86</v>
      </c>
    </row>
    <row r="12" spans="1:105" x14ac:dyDescent="0.25">
      <c r="A12" s="1"/>
      <c r="DA12" s="9" t="s">
        <v>95</v>
      </c>
    </row>
    <row r="13" spans="1:105" x14ac:dyDescent="0.25">
      <c r="CZ13" s="9">
        <f>MIN(CZ3:CZ12)</f>
        <v>0.341333</v>
      </c>
    </row>
    <row r="15" spans="1:10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>
        <f>MIN(B14:CX15)</f>
        <v>0</v>
      </c>
    </row>
    <row r="16" spans="1:105" x14ac:dyDescent="0.25">
      <c r="CZ16">
        <f t="shared" ref="CZ4:CZ36" si="1">MIN(B16:CX16)</f>
        <v>0</v>
      </c>
    </row>
    <row r="17" spans="1:105" x14ac:dyDescent="0.25">
      <c r="A17" t="s">
        <v>69</v>
      </c>
      <c r="CZ17">
        <f t="shared" si="1"/>
        <v>0</v>
      </c>
    </row>
    <row r="18" spans="1:105" x14ac:dyDescent="0.25">
      <c r="CZ18">
        <f t="shared" si="1"/>
        <v>0</v>
      </c>
    </row>
    <row r="19" spans="1:105" ht="26.25" x14ac:dyDescent="0.4">
      <c r="A19" s="22" t="s">
        <v>70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CZ19">
        <f t="shared" si="1"/>
        <v>0</v>
      </c>
    </row>
    <row r="20" spans="1:105" x14ac:dyDescent="0.25">
      <c r="A20" s="1" t="s">
        <v>3</v>
      </c>
      <c r="B20" s="1">
        <v>2.600635</v>
      </c>
      <c r="C20" s="1">
        <v>3.1573329999999999</v>
      </c>
      <c r="D20" s="1">
        <v>3.1573329999999999</v>
      </c>
      <c r="E20" s="1">
        <v>2.56</v>
      </c>
      <c r="F20" s="1">
        <v>2.2186669999999999</v>
      </c>
      <c r="G20" s="1">
        <v>3.1573329999999999</v>
      </c>
      <c r="H20" s="1">
        <v>3.669333</v>
      </c>
      <c r="I20" s="1">
        <v>3.4133330000000002</v>
      </c>
      <c r="J20" s="1">
        <v>2.9866670000000002</v>
      </c>
      <c r="K20" s="1">
        <v>3.0650339999999998</v>
      </c>
      <c r="L20" s="1">
        <v>1.9626669999999999</v>
      </c>
      <c r="M20" s="1"/>
      <c r="CZ20">
        <f t="shared" si="1"/>
        <v>1.9626669999999999</v>
      </c>
      <c r="DA20" s="9" t="s">
        <v>64</v>
      </c>
    </row>
    <row r="21" spans="1:105" x14ac:dyDescent="0.25">
      <c r="A21" s="1" t="s">
        <v>3</v>
      </c>
      <c r="B21" s="1">
        <v>5.9443080000000004</v>
      </c>
      <c r="C21" s="1">
        <v>2.3893330000000002</v>
      </c>
      <c r="D21" s="1">
        <v>2.9721540000000002</v>
      </c>
      <c r="E21" s="1">
        <v>2.9866670000000002</v>
      </c>
      <c r="F21" s="1">
        <v>1.7066669999999999</v>
      </c>
      <c r="G21" s="1">
        <v>1.792</v>
      </c>
      <c r="H21" s="1">
        <v>3.1573329999999999</v>
      </c>
      <c r="I21" s="1">
        <v>2.9013330000000002</v>
      </c>
      <c r="J21" s="1">
        <v>3.242667</v>
      </c>
      <c r="K21" s="1">
        <v>2.3219949999999998</v>
      </c>
      <c r="L21" s="1">
        <v>3.4986670000000002</v>
      </c>
      <c r="M21" s="1">
        <v>3.4133330000000002</v>
      </c>
      <c r="N21" s="1">
        <v>1.3653329999999999</v>
      </c>
      <c r="O21" s="1">
        <v>1.8773329999999999</v>
      </c>
      <c r="P21" s="1">
        <v>3.754667</v>
      </c>
      <c r="Q21" s="1">
        <v>2.8159999999999998</v>
      </c>
      <c r="R21" s="1">
        <v>2.4746670000000002</v>
      </c>
      <c r="S21" s="1">
        <v>2.9013330000000002</v>
      </c>
      <c r="T21" s="1">
        <v>3.1573329999999999</v>
      </c>
      <c r="U21" s="1">
        <v>3.4986670000000002</v>
      </c>
      <c r="V21" s="1"/>
      <c r="CZ21">
        <f t="shared" si="1"/>
        <v>1.3653329999999999</v>
      </c>
      <c r="DA21" s="9" t="s">
        <v>75</v>
      </c>
    </row>
    <row r="22" spans="1:105" ht="26.25" x14ac:dyDescent="0.4">
      <c r="A22" s="1" t="s">
        <v>3</v>
      </c>
      <c r="B22" s="1">
        <v>3.4986670000000002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CZ22">
        <f t="shared" si="1"/>
        <v>3.4986670000000002</v>
      </c>
      <c r="DA22" s="9" t="s">
        <v>76</v>
      </c>
    </row>
    <row r="23" spans="1:105" x14ac:dyDescent="0.25">
      <c r="A23" s="1" t="s">
        <v>3</v>
      </c>
      <c r="B23" s="1">
        <v>1.4506669999999999</v>
      </c>
      <c r="C23" s="1">
        <v>2.2186669999999999</v>
      </c>
      <c r="D23" s="1">
        <v>2.3893330000000002</v>
      </c>
      <c r="E23" s="1">
        <v>1.9626669999999999</v>
      </c>
      <c r="F23" s="1">
        <v>1.8773329999999999</v>
      </c>
      <c r="G23" s="1">
        <v>3.1573329999999999</v>
      </c>
      <c r="H23" s="1"/>
      <c r="I23" s="1">
        <v>1.28</v>
      </c>
      <c r="J23" s="1">
        <v>3.4133330000000002</v>
      </c>
      <c r="K23" s="1">
        <v>1.1093329999999999</v>
      </c>
      <c r="L23" s="1">
        <v>2.048</v>
      </c>
      <c r="M23" s="1">
        <v>2.048</v>
      </c>
      <c r="N23" s="1">
        <v>1.7066669999999999</v>
      </c>
      <c r="O23" s="1">
        <v>1.1946669999999999</v>
      </c>
      <c r="P23" s="1">
        <v>3.0720000000000001</v>
      </c>
      <c r="Q23">
        <v>3.4133330000000002</v>
      </c>
      <c r="R23">
        <v>2.56</v>
      </c>
      <c r="S23">
        <v>2.2186669999999999</v>
      </c>
      <c r="T23">
        <v>1.792</v>
      </c>
      <c r="U23">
        <v>4.693333</v>
      </c>
      <c r="V23">
        <v>1.1093329999999999</v>
      </c>
      <c r="W23">
        <v>1.1093329999999999</v>
      </c>
      <c r="X23">
        <v>2.2186669999999999</v>
      </c>
      <c r="Y23">
        <v>1.6213329999999999</v>
      </c>
      <c r="Z23">
        <v>1.857596</v>
      </c>
      <c r="AA23">
        <v>2.1333329999999999</v>
      </c>
      <c r="AB23">
        <v>1.28</v>
      </c>
      <c r="AC23">
        <v>1.536</v>
      </c>
      <c r="AD23">
        <v>2.1333329999999999</v>
      </c>
      <c r="AE23">
        <v>2.3039999999999998</v>
      </c>
      <c r="AF23">
        <v>2.3893330000000002</v>
      </c>
      <c r="AG23">
        <v>1.28</v>
      </c>
      <c r="AH23">
        <v>2.1333329999999999</v>
      </c>
      <c r="AI23">
        <v>1.9626669999999999</v>
      </c>
      <c r="AJ23">
        <v>3.3279999999999998</v>
      </c>
      <c r="AK23">
        <v>1.28</v>
      </c>
      <c r="AL23">
        <v>1.536</v>
      </c>
      <c r="AM23">
        <v>2.9721540000000002</v>
      </c>
      <c r="AN23">
        <v>2.9013330000000002</v>
      </c>
      <c r="AO23">
        <v>1.9626669999999999</v>
      </c>
      <c r="AP23">
        <v>2.3219949999999998</v>
      </c>
      <c r="AQ23">
        <v>1.6213329999999999</v>
      </c>
      <c r="AR23">
        <v>4.4582309999999996</v>
      </c>
      <c r="AS23">
        <v>5.12</v>
      </c>
      <c r="AT23">
        <v>1.792</v>
      </c>
      <c r="AU23">
        <v>1.8773329999999999</v>
      </c>
      <c r="AV23">
        <v>3.436553</v>
      </c>
      <c r="AW23">
        <v>3.669333</v>
      </c>
      <c r="AX23">
        <v>3.9253330000000002</v>
      </c>
      <c r="AY23">
        <v>3.1573329999999999</v>
      </c>
      <c r="CZ23">
        <f t="shared" si="1"/>
        <v>1.1093329999999999</v>
      </c>
      <c r="DA23" s="9" t="s">
        <v>77</v>
      </c>
    </row>
    <row r="24" spans="1:105" x14ac:dyDescent="0.25">
      <c r="A24" s="1" t="s">
        <v>3</v>
      </c>
      <c r="B24" s="1">
        <v>2.3893330000000002</v>
      </c>
      <c r="C24" s="1">
        <v>2.3039999999999998</v>
      </c>
      <c r="D24" s="1">
        <v>2.8159999999999998</v>
      </c>
      <c r="E24" s="1">
        <v>2.9013330000000002</v>
      </c>
      <c r="F24" s="1">
        <v>1.4506669999999999</v>
      </c>
      <c r="G24" s="1">
        <v>3.242667</v>
      </c>
      <c r="H24" s="1">
        <v>1.9626669999999999</v>
      </c>
      <c r="I24" s="1">
        <v>1.8773329999999999</v>
      </c>
      <c r="J24" s="1">
        <v>1.536</v>
      </c>
      <c r="K24" s="1">
        <v>1.4506669999999999</v>
      </c>
      <c r="L24" s="1">
        <v>3.3279999999999998</v>
      </c>
      <c r="M24" s="1">
        <v>2.6935150000000001</v>
      </c>
      <c r="N24" s="1">
        <v>2.3039999999999998</v>
      </c>
      <c r="O24" s="1">
        <v>2.3893330000000002</v>
      </c>
      <c r="P24" s="1">
        <v>2.9013330000000002</v>
      </c>
      <c r="Q24">
        <v>2.4746670000000002</v>
      </c>
      <c r="R24">
        <v>1.9626669999999999</v>
      </c>
      <c r="S24">
        <v>2.048</v>
      </c>
      <c r="T24">
        <v>1.28</v>
      </c>
      <c r="U24">
        <v>1.8773329999999999</v>
      </c>
      <c r="V24">
        <v>3.1573329999999999</v>
      </c>
      <c r="W24">
        <v>4.266667</v>
      </c>
      <c r="X24">
        <v>4.266667</v>
      </c>
      <c r="Y24">
        <v>3.84</v>
      </c>
      <c r="Z24">
        <v>2.56</v>
      </c>
      <c r="AA24">
        <v>2.6935150000000001</v>
      </c>
      <c r="AB24">
        <v>2.6453329999999999</v>
      </c>
      <c r="AC24">
        <v>2.8159999999999998</v>
      </c>
      <c r="AD24">
        <v>2.2186669999999999</v>
      </c>
      <c r="AE24">
        <v>3.1573329999999999</v>
      </c>
      <c r="AF24">
        <v>2.048</v>
      </c>
      <c r="AG24">
        <v>1.1093329999999999</v>
      </c>
      <c r="AH24">
        <v>3.84</v>
      </c>
      <c r="AI24">
        <v>3.0720000000000001</v>
      </c>
      <c r="AJ24">
        <v>2.6453329999999999</v>
      </c>
      <c r="AK24">
        <v>3.4133330000000002</v>
      </c>
      <c r="AL24">
        <v>1.28</v>
      </c>
      <c r="AM24">
        <v>1.6213329999999999</v>
      </c>
      <c r="AN24">
        <v>4.4373329999999997</v>
      </c>
      <c r="AO24">
        <v>2.1362359999999998</v>
      </c>
      <c r="AP24">
        <v>3.84</v>
      </c>
      <c r="AQ24">
        <v>2.2186669999999999</v>
      </c>
      <c r="AR24">
        <v>1.6213329999999999</v>
      </c>
      <c r="AS24">
        <v>1.3653329999999999</v>
      </c>
      <c r="AT24">
        <v>1.9626669999999999</v>
      </c>
      <c r="AU24">
        <v>2.048</v>
      </c>
      <c r="AV24">
        <v>2.8159999999999998</v>
      </c>
      <c r="AW24">
        <v>3.242667</v>
      </c>
      <c r="AX24">
        <v>2.3893330000000002</v>
      </c>
      <c r="AY24">
        <v>2.2186669999999999</v>
      </c>
      <c r="AZ24">
        <v>2.730667</v>
      </c>
      <c r="BA24">
        <v>2.730667</v>
      </c>
      <c r="BB24">
        <v>4.0960000000000001</v>
      </c>
      <c r="BC24">
        <v>2.1333329999999999</v>
      </c>
      <c r="BD24">
        <v>2.1333329999999999</v>
      </c>
      <c r="BE24">
        <v>2.9013330000000002</v>
      </c>
      <c r="BF24">
        <v>1.792</v>
      </c>
      <c r="BI24" s="1"/>
      <c r="BJ24" s="1"/>
      <c r="CZ24">
        <f t="shared" si="1"/>
        <v>1.1093329999999999</v>
      </c>
      <c r="DA24" s="9" t="s">
        <v>78</v>
      </c>
    </row>
    <row r="25" spans="1:105" x14ac:dyDescent="0.25">
      <c r="A25" s="1" t="s">
        <v>3</v>
      </c>
      <c r="B25" s="1">
        <v>1.536</v>
      </c>
      <c r="C25" s="1">
        <v>1.4506669999999999</v>
      </c>
      <c r="D25" s="1">
        <v>2.730667</v>
      </c>
      <c r="E25" s="1">
        <v>2.048</v>
      </c>
      <c r="F25" s="1">
        <v>1.9626669999999999</v>
      </c>
      <c r="G25" s="1">
        <v>1.6213329999999999</v>
      </c>
      <c r="H25" s="1">
        <v>1.792</v>
      </c>
      <c r="I25" s="1">
        <v>2.048</v>
      </c>
      <c r="J25" s="1">
        <v>2.730667</v>
      </c>
      <c r="K25" s="1">
        <v>2.048</v>
      </c>
      <c r="L25" s="1">
        <v>1.536</v>
      </c>
      <c r="M25" s="1">
        <v>2.048</v>
      </c>
      <c r="N25" s="1">
        <v>2.2186669999999999</v>
      </c>
      <c r="O25" s="1">
        <v>1.28</v>
      </c>
      <c r="P25" s="1">
        <v>2.9866670000000002</v>
      </c>
      <c r="Q25">
        <v>2.730667</v>
      </c>
      <c r="R25">
        <v>2.3893330000000002</v>
      </c>
      <c r="S25">
        <v>2.048</v>
      </c>
      <c r="T25">
        <v>1.8773329999999999</v>
      </c>
      <c r="U25">
        <v>2.6935150000000001</v>
      </c>
      <c r="V25">
        <v>1.9626669999999999</v>
      </c>
      <c r="W25">
        <v>2.2186669999999999</v>
      </c>
      <c r="X25">
        <v>2.048</v>
      </c>
      <c r="Y25">
        <v>2.6453329999999999</v>
      </c>
      <c r="Z25">
        <v>2.6453329999999999</v>
      </c>
      <c r="AA25">
        <v>1.792</v>
      </c>
      <c r="AB25">
        <v>3.1573329999999999</v>
      </c>
      <c r="AC25">
        <v>1.8773329999999999</v>
      </c>
      <c r="AD25">
        <v>1.6213329999999999</v>
      </c>
      <c r="AE25">
        <v>2.048</v>
      </c>
      <c r="AF25">
        <v>1.1946669999999999</v>
      </c>
      <c r="AG25">
        <v>2.9013330000000002</v>
      </c>
      <c r="AH25">
        <v>2.3893330000000002</v>
      </c>
      <c r="AI25">
        <v>1.6213329999999999</v>
      </c>
      <c r="AJ25">
        <v>2.2186669999999999</v>
      </c>
      <c r="AK25">
        <v>3.0720000000000001</v>
      </c>
      <c r="AL25">
        <v>2.4746670000000002</v>
      </c>
      <c r="AM25">
        <v>1.7647170000000001</v>
      </c>
      <c r="AN25">
        <v>2.6453329999999999</v>
      </c>
      <c r="AO25">
        <v>2.9013330000000002</v>
      </c>
      <c r="AP25">
        <v>4.0960000000000001</v>
      </c>
      <c r="AQ25">
        <v>3.3279999999999998</v>
      </c>
      <c r="AR25">
        <v>2.9013330000000002</v>
      </c>
      <c r="AS25">
        <v>3.1573329999999999</v>
      </c>
      <c r="AT25">
        <v>1.3653329999999999</v>
      </c>
      <c r="AU25">
        <v>1.9504760000000001</v>
      </c>
      <c r="AV25">
        <v>2.3039999999999998</v>
      </c>
      <c r="AW25">
        <v>2.3039999999999998</v>
      </c>
      <c r="AX25">
        <v>2.8159999999999998</v>
      </c>
      <c r="AY25">
        <v>2.8159999999999998</v>
      </c>
      <c r="AZ25">
        <v>2.9013330000000002</v>
      </c>
      <c r="BA25">
        <v>2.4746670000000002</v>
      </c>
      <c r="BB25">
        <v>2.8159999999999998</v>
      </c>
      <c r="BC25">
        <v>2.6453329999999999</v>
      </c>
      <c r="BD25">
        <v>2.4746670000000002</v>
      </c>
      <c r="BE25">
        <v>2.1333329999999999</v>
      </c>
      <c r="BF25">
        <v>3.4986670000000002</v>
      </c>
      <c r="BG25">
        <v>2.9866670000000002</v>
      </c>
      <c r="BH25">
        <v>2.507755</v>
      </c>
      <c r="BI25">
        <v>2.2186669999999999</v>
      </c>
      <c r="BJ25">
        <v>2.2186669999999999</v>
      </c>
      <c r="BK25">
        <v>3.0720000000000001</v>
      </c>
      <c r="BL25">
        <v>2.3893330000000002</v>
      </c>
      <c r="BM25">
        <v>2.8792740000000001</v>
      </c>
      <c r="BN25">
        <v>2.3039999999999998</v>
      </c>
      <c r="BO25">
        <v>2.56</v>
      </c>
      <c r="BP25">
        <v>2.4746670000000002</v>
      </c>
      <c r="BQ25">
        <v>1.8773329999999999</v>
      </c>
      <c r="BR25">
        <v>3.1573329999999999</v>
      </c>
      <c r="BS25">
        <v>3.4986670000000002</v>
      </c>
      <c r="BT25">
        <v>2.3039999999999998</v>
      </c>
      <c r="BU25">
        <v>3.669333</v>
      </c>
      <c r="BV25">
        <v>2.3893330000000002</v>
      </c>
      <c r="BW25">
        <v>2.2186669999999999</v>
      </c>
      <c r="BX25">
        <v>2.2291159999999999</v>
      </c>
      <c r="BY25">
        <v>2.56</v>
      </c>
      <c r="BZ25">
        <v>2.9866670000000002</v>
      </c>
      <c r="CA25">
        <v>1.3653329999999999</v>
      </c>
      <c r="CB25">
        <v>2.4746670000000002</v>
      </c>
      <c r="CC25">
        <v>3.0720000000000001</v>
      </c>
      <c r="CD25">
        <v>4.0106669999999998</v>
      </c>
      <c r="CE25">
        <v>1.8773329999999999</v>
      </c>
      <c r="CF25">
        <v>2.56</v>
      </c>
      <c r="CG25">
        <v>1.536</v>
      </c>
      <c r="CH25">
        <v>2.9013330000000002</v>
      </c>
      <c r="CI25">
        <v>2.3039999999999998</v>
      </c>
      <c r="CJ25">
        <v>2.1333329999999999</v>
      </c>
      <c r="CK25">
        <v>2.3893330000000002</v>
      </c>
      <c r="CL25">
        <v>3.1573329999999999</v>
      </c>
      <c r="CM25">
        <v>1.8773329999999999</v>
      </c>
      <c r="CN25">
        <v>1.8773329999999999</v>
      </c>
      <c r="CO25">
        <v>2.2291159999999999</v>
      </c>
      <c r="CP25">
        <v>2.4746670000000002</v>
      </c>
      <c r="CQ25">
        <v>2.56</v>
      </c>
      <c r="CR25">
        <v>1.28</v>
      </c>
      <c r="CS25">
        <v>2.3039999999999998</v>
      </c>
      <c r="CW25" s="1"/>
      <c r="CZ25">
        <f t="shared" si="1"/>
        <v>1.1946669999999999</v>
      </c>
      <c r="DA25" s="9" t="s">
        <v>79</v>
      </c>
    </row>
    <row r="26" spans="1:105" x14ac:dyDescent="0.25">
      <c r="A26" s="1" t="s">
        <v>3</v>
      </c>
      <c r="B26" s="1">
        <v>2.0486</v>
      </c>
      <c r="C26" s="1">
        <v>3.754667</v>
      </c>
      <c r="D26" s="1">
        <v>2.9013330000000002</v>
      </c>
      <c r="E26" s="1">
        <v>2.9866670000000002</v>
      </c>
      <c r="F26" s="1">
        <v>2.8159999999999998</v>
      </c>
      <c r="G26" s="1">
        <v>1.536</v>
      </c>
      <c r="H26" s="1">
        <v>2.3039999999999998</v>
      </c>
      <c r="I26" s="1">
        <v>2.2186669999999999</v>
      </c>
      <c r="J26" s="1">
        <v>2.3893330000000002</v>
      </c>
      <c r="K26" s="1">
        <v>2.9013330000000002</v>
      </c>
      <c r="L26" s="1">
        <v>2.9866670000000002</v>
      </c>
      <c r="M26" s="1">
        <v>2.6453329999999999</v>
      </c>
      <c r="N26" s="1">
        <v>3.242667</v>
      </c>
      <c r="O26" s="1">
        <v>2.3893330000000002</v>
      </c>
      <c r="P26" s="1">
        <v>3.5840000000000001</v>
      </c>
      <c r="Q26">
        <v>2.6453329999999999</v>
      </c>
      <c r="R26">
        <v>2.9013330000000002</v>
      </c>
      <c r="S26">
        <v>3.242667</v>
      </c>
      <c r="T26">
        <v>4.4373329999999997</v>
      </c>
      <c r="U26">
        <v>2.9013330000000002</v>
      </c>
      <c r="V26">
        <v>2.4148749999999999</v>
      </c>
      <c r="W26">
        <v>2.9721540000000002</v>
      </c>
      <c r="X26">
        <v>3.3279999999999998</v>
      </c>
      <c r="Y26">
        <v>2.4746670000000002</v>
      </c>
      <c r="Z26">
        <v>2.3039999999999998</v>
      </c>
      <c r="AA26">
        <v>2.6453329999999999</v>
      </c>
      <c r="AB26">
        <v>2.6453329999999999</v>
      </c>
      <c r="AC26">
        <v>3.242667</v>
      </c>
      <c r="AD26">
        <v>1.1145579999999999</v>
      </c>
      <c r="AE26">
        <v>2.3893330000000002</v>
      </c>
      <c r="AF26">
        <v>2.048</v>
      </c>
      <c r="AG26">
        <v>3.5840000000000001</v>
      </c>
      <c r="AH26">
        <v>3.3279999999999998</v>
      </c>
      <c r="AI26">
        <v>3.242667</v>
      </c>
      <c r="AJ26">
        <v>2.2186669999999999</v>
      </c>
      <c r="AK26">
        <v>3.4133330000000002</v>
      </c>
      <c r="AL26">
        <v>3.3279999999999998</v>
      </c>
      <c r="AM26">
        <v>2.1546669999999999</v>
      </c>
      <c r="AN26">
        <v>2.9013330000000002</v>
      </c>
      <c r="AO26">
        <v>2.4746670000000002</v>
      </c>
      <c r="AP26">
        <v>2.2186669999999999</v>
      </c>
      <c r="AQ26">
        <v>3.3279999999999998</v>
      </c>
      <c r="AR26">
        <v>3.4986670000000002</v>
      </c>
      <c r="AS26">
        <v>2.730667</v>
      </c>
      <c r="AT26">
        <v>2.6453329999999999</v>
      </c>
      <c r="AU26">
        <v>2.3039999999999998</v>
      </c>
      <c r="AV26">
        <v>2.048</v>
      </c>
      <c r="CW26" s="1"/>
      <c r="CZ26">
        <f t="shared" si="1"/>
        <v>1.1145579999999999</v>
      </c>
      <c r="DA26" s="9" t="s">
        <v>81</v>
      </c>
    </row>
    <row r="27" spans="1:105" x14ac:dyDescent="0.25">
      <c r="A27" s="1" t="s">
        <v>3</v>
      </c>
      <c r="B27" s="1">
        <v>2.9866670000000002</v>
      </c>
      <c r="C27" s="1">
        <v>3.5840000000000001</v>
      </c>
      <c r="D27" s="1">
        <v>2.9013330000000002</v>
      </c>
      <c r="E27" s="1">
        <v>2.8159999999999998</v>
      </c>
      <c r="F27" s="1">
        <v>1.792</v>
      </c>
      <c r="G27" s="1">
        <v>3.0720000000000001</v>
      </c>
      <c r="H27" s="1">
        <v>4.266667</v>
      </c>
      <c r="I27" s="1">
        <v>2.9866670000000002</v>
      </c>
      <c r="J27" s="1">
        <v>2.1333329999999999</v>
      </c>
      <c r="K27" s="1">
        <v>2.048</v>
      </c>
      <c r="L27" s="1">
        <v>3.0720000000000001</v>
      </c>
      <c r="M27" s="1">
        <v>2.1362359999999998</v>
      </c>
      <c r="N27" s="1">
        <v>2.730667</v>
      </c>
      <c r="O27" s="1">
        <v>2.048</v>
      </c>
      <c r="P27" s="1">
        <v>2.8159999999999998</v>
      </c>
      <c r="Q27">
        <v>3.754667</v>
      </c>
      <c r="R27">
        <v>2.3039999999999998</v>
      </c>
      <c r="S27">
        <v>2.6453329999999999</v>
      </c>
      <c r="T27">
        <v>2.1333329999999999</v>
      </c>
      <c r="U27">
        <v>3.9253330000000002</v>
      </c>
      <c r="V27">
        <v>2.56</v>
      </c>
      <c r="W27">
        <v>2.730667</v>
      </c>
      <c r="X27">
        <v>2.4746670000000002</v>
      </c>
      <c r="Y27">
        <v>2.9866670000000002</v>
      </c>
      <c r="Z27">
        <v>2.8159999999999998</v>
      </c>
      <c r="AA27">
        <v>2.2291159999999999</v>
      </c>
      <c r="AB27">
        <v>3.1573329999999999</v>
      </c>
      <c r="AC27">
        <v>2.0433560000000002</v>
      </c>
      <c r="AD27">
        <v>3.1573329999999999</v>
      </c>
      <c r="AE27">
        <v>2.56</v>
      </c>
      <c r="AF27">
        <v>2.56</v>
      </c>
      <c r="AG27">
        <v>2.6453329999999999</v>
      </c>
      <c r="AH27">
        <v>2.4746670000000002</v>
      </c>
      <c r="AI27">
        <v>2.730667</v>
      </c>
      <c r="AJ27">
        <v>1.857596</v>
      </c>
      <c r="AK27">
        <v>2.2186669999999999</v>
      </c>
      <c r="AL27">
        <v>2.6453329999999999</v>
      </c>
      <c r="AM27">
        <v>1.9626669999999999</v>
      </c>
      <c r="AN27">
        <v>1.9626669999999999</v>
      </c>
      <c r="AO27">
        <v>1.8773329999999999</v>
      </c>
      <c r="AP27">
        <v>2.3039999999999998</v>
      </c>
      <c r="AQ27">
        <v>2.600635</v>
      </c>
      <c r="AR27">
        <v>4.1813330000000004</v>
      </c>
      <c r="AS27">
        <v>2.048</v>
      </c>
      <c r="AT27">
        <v>3.242667</v>
      </c>
      <c r="AU27">
        <v>2.9866670000000002</v>
      </c>
      <c r="AV27">
        <v>3.84</v>
      </c>
      <c r="AW27">
        <v>2.1333329999999999</v>
      </c>
      <c r="AX27">
        <v>2.56</v>
      </c>
      <c r="AY27">
        <v>2.730667</v>
      </c>
      <c r="AZ27">
        <v>2.2291159999999999</v>
      </c>
      <c r="BA27">
        <v>3.5840000000000001</v>
      </c>
      <c r="BB27">
        <v>2.3893330000000002</v>
      </c>
      <c r="BC27">
        <v>3.4986670000000002</v>
      </c>
      <c r="BD27">
        <v>3.242667</v>
      </c>
      <c r="BE27">
        <v>2.8159999999999998</v>
      </c>
      <c r="BF27">
        <v>3.1573329999999999</v>
      </c>
      <c r="BG27">
        <v>2.56</v>
      </c>
      <c r="BH27">
        <v>3.669333</v>
      </c>
      <c r="BI27">
        <v>0.83591800000000005</v>
      </c>
      <c r="BJ27">
        <v>2.3893330000000002</v>
      </c>
      <c r="BK27">
        <v>2.8159999999999998</v>
      </c>
      <c r="CZ27">
        <f t="shared" si="1"/>
        <v>0.83591800000000005</v>
      </c>
      <c r="DA27" s="9" t="s">
        <v>80</v>
      </c>
    </row>
    <row r="28" spans="1:105" x14ac:dyDescent="0.25">
      <c r="A28" s="1" t="s">
        <v>3</v>
      </c>
      <c r="B28" s="1">
        <v>2.6453329999999999</v>
      </c>
      <c r="C28" s="1">
        <v>2.3039999999999998</v>
      </c>
      <c r="D28" s="1">
        <v>2.56</v>
      </c>
      <c r="E28" s="1">
        <v>2.3893330000000002</v>
      </c>
      <c r="F28" s="1">
        <v>2.3039999999999998</v>
      </c>
      <c r="G28" s="1">
        <v>3.5840000000000001</v>
      </c>
      <c r="H28" s="1">
        <v>2.8159999999999998</v>
      </c>
      <c r="I28" s="1">
        <v>2.730667</v>
      </c>
      <c r="J28" s="1">
        <v>2.4746670000000002</v>
      </c>
      <c r="K28" s="1">
        <v>2.2186669999999999</v>
      </c>
      <c r="L28" s="1">
        <v>2.4746670000000002</v>
      </c>
      <c r="M28" s="1">
        <v>2.1333329999999999</v>
      </c>
      <c r="N28" s="1">
        <v>1.857596</v>
      </c>
      <c r="O28" s="1">
        <v>1.8773329999999999</v>
      </c>
      <c r="P28" s="1">
        <v>2.6935150000000001</v>
      </c>
      <c r="Q28">
        <v>2.3893330000000002</v>
      </c>
      <c r="R28">
        <v>2.730667</v>
      </c>
      <c r="S28">
        <v>2.9013330000000002</v>
      </c>
      <c r="T28">
        <v>2.1333329999999999</v>
      </c>
      <c r="U28">
        <v>4.0106669999999998</v>
      </c>
      <c r="V28">
        <v>2.3893330000000002</v>
      </c>
      <c r="W28">
        <v>2.2186669999999999</v>
      </c>
      <c r="X28">
        <v>2.1333329999999999</v>
      </c>
      <c r="Y28">
        <v>3.3279999999999998</v>
      </c>
      <c r="Z28">
        <v>2.600635</v>
      </c>
      <c r="AA28">
        <v>2.6453329999999999</v>
      </c>
      <c r="AB28">
        <v>2.8159999999999998</v>
      </c>
      <c r="AC28">
        <v>2.3893330000000002</v>
      </c>
      <c r="AD28">
        <v>4.3653510000000004</v>
      </c>
      <c r="AE28">
        <v>3.669333</v>
      </c>
      <c r="AF28">
        <v>3.4133330000000002</v>
      </c>
      <c r="AG28">
        <v>3.5840000000000001</v>
      </c>
      <c r="AH28">
        <v>2.1333329999999999</v>
      </c>
      <c r="AI28">
        <v>2.730667</v>
      </c>
      <c r="CW28" s="1"/>
      <c r="CZ28">
        <f t="shared" si="1"/>
        <v>1.857596</v>
      </c>
      <c r="DA28" s="9" t="s">
        <v>86</v>
      </c>
    </row>
    <row r="29" spans="1:105" x14ac:dyDescent="0.25">
      <c r="DA29" s="9" t="s">
        <v>95</v>
      </c>
    </row>
    <row r="30" spans="1:105" x14ac:dyDescent="0.25">
      <c r="CZ30" s="9">
        <f>MIN(CZ20:CZ29)</f>
        <v>0.83591800000000005</v>
      </c>
    </row>
    <row r="31" spans="1:105" x14ac:dyDescent="0.25">
      <c r="CZ31">
        <f t="shared" si="1"/>
        <v>0</v>
      </c>
    </row>
    <row r="32" spans="1:105" x14ac:dyDescent="0.25">
      <c r="CZ32">
        <f t="shared" si="1"/>
        <v>0</v>
      </c>
    </row>
    <row r="33" spans="1:104" x14ac:dyDescent="0.25">
      <c r="CZ33">
        <f t="shared" si="1"/>
        <v>0</v>
      </c>
    </row>
    <row r="34" spans="1:104" x14ac:dyDescent="0.25">
      <c r="CZ34">
        <f t="shared" si="1"/>
        <v>0</v>
      </c>
    </row>
    <row r="35" spans="1:104" x14ac:dyDescent="0.25">
      <c r="CZ35">
        <f t="shared" si="1"/>
        <v>0</v>
      </c>
    </row>
    <row r="36" spans="1:104" x14ac:dyDescent="0.25">
      <c r="A36" s="9" t="s">
        <v>74</v>
      </c>
      <c r="CZ36">
        <f t="shared" si="1"/>
        <v>0</v>
      </c>
    </row>
    <row r="37" spans="1:104" x14ac:dyDescent="0.25">
      <c r="A37" s="9" t="s">
        <v>64</v>
      </c>
    </row>
    <row r="38" spans="1:104" x14ac:dyDescent="0.25">
      <c r="A38" s="9" t="s">
        <v>75</v>
      </c>
    </row>
    <row r="39" spans="1:104" x14ac:dyDescent="0.25">
      <c r="A39" s="9" t="s">
        <v>76</v>
      </c>
    </row>
    <row r="40" spans="1:104" x14ac:dyDescent="0.25">
      <c r="A40" s="9" t="s">
        <v>77</v>
      </c>
    </row>
    <row r="41" spans="1:104" x14ac:dyDescent="0.25">
      <c r="A41" s="9" t="s">
        <v>78</v>
      </c>
    </row>
    <row r="42" spans="1:104" x14ac:dyDescent="0.25">
      <c r="A42" s="9" t="s">
        <v>79</v>
      </c>
    </row>
    <row r="43" spans="1:104" x14ac:dyDescent="0.25">
      <c r="A43" s="9" t="s">
        <v>81</v>
      </c>
    </row>
    <row r="44" spans="1:104" x14ac:dyDescent="0.25">
      <c r="A44" s="9" t="s">
        <v>80</v>
      </c>
    </row>
    <row r="45" spans="1:104" x14ac:dyDescent="0.25">
      <c r="A45" s="9" t="s">
        <v>86</v>
      </c>
    </row>
    <row r="46" spans="1:104" x14ac:dyDescent="0.25">
      <c r="A46" s="9" t="s">
        <v>95</v>
      </c>
    </row>
  </sheetData>
  <mergeCells count="3">
    <mergeCell ref="A2:I2"/>
    <mergeCell ref="A1:O1"/>
    <mergeCell ref="A19:O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AA7A-1083-43C9-8D50-0D6900E0B805}">
  <dimension ref="A1:DA34"/>
  <sheetViews>
    <sheetView topLeftCell="CJ15" zoomScaleNormal="100" workbookViewId="0">
      <selection activeCell="CZ13" sqref="CZ13"/>
    </sheetView>
  </sheetViews>
  <sheetFormatPr defaultRowHeight="15" x14ac:dyDescent="0.25"/>
  <cols>
    <col min="1" max="1" width="29.85546875" customWidth="1"/>
    <col min="104" max="104" width="18.28515625" customWidth="1"/>
    <col min="105" max="105" width="20.5703125" customWidth="1"/>
  </cols>
  <sheetData>
    <row r="1" spans="1:105" ht="26.25" x14ac:dyDescent="0.4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05" ht="24" x14ac:dyDescent="0.4">
      <c r="A2" s="21" t="s">
        <v>65</v>
      </c>
      <c r="B2" s="21"/>
      <c r="C2" s="21"/>
      <c r="D2" s="21"/>
      <c r="E2" s="21"/>
      <c r="F2" s="21"/>
      <c r="G2" s="21"/>
      <c r="H2" s="21"/>
      <c r="I2" s="21"/>
      <c r="CZ2" s="9" t="s">
        <v>84</v>
      </c>
      <c r="DA2" s="9" t="s">
        <v>85</v>
      </c>
    </row>
    <row r="3" spans="1:105" x14ac:dyDescent="0.25">
      <c r="A3" s="1" t="s">
        <v>4</v>
      </c>
      <c r="B3" s="1">
        <v>9.6595010000000006</v>
      </c>
      <c r="C3" s="1">
        <v>7.1517460000000002</v>
      </c>
      <c r="D3" s="1">
        <v>13.281814000000001</v>
      </c>
      <c r="E3" s="1">
        <v>10.496</v>
      </c>
      <c r="F3" s="1">
        <v>5.717333</v>
      </c>
      <c r="G3" s="1">
        <v>6.2293329999999996</v>
      </c>
      <c r="H3" s="1">
        <v>8.6186670000000003</v>
      </c>
      <c r="I3" s="1">
        <v>9.2159999999999993</v>
      </c>
      <c r="J3" s="1">
        <v>10.154667</v>
      </c>
      <c r="K3" s="1">
        <v>5.4613329999999998</v>
      </c>
      <c r="L3" s="1">
        <v>20.48</v>
      </c>
      <c r="M3" s="1"/>
      <c r="CZ3">
        <f>MAX(B3:CX3)</f>
        <v>20.48</v>
      </c>
      <c r="DA3" s="9" t="s">
        <v>64</v>
      </c>
    </row>
    <row r="4" spans="1:105" x14ac:dyDescent="0.25">
      <c r="A4" s="1" t="s">
        <v>4</v>
      </c>
      <c r="B4" s="1">
        <v>42.325333000000001</v>
      </c>
      <c r="C4" s="1">
        <v>31.146667000000001</v>
      </c>
      <c r="D4" s="1">
        <v>30.000181000000001</v>
      </c>
      <c r="E4" s="1">
        <v>16.554666999999998</v>
      </c>
      <c r="F4" s="1">
        <v>36.607999999999997</v>
      </c>
      <c r="G4">
        <v>30.207999999999998</v>
      </c>
      <c r="H4">
        <v>42.496000000000002</v>
      </c>
      <c r="I4">
        <v>54.241813999999998</v>
      </c>
      <c r="J4">
        <v>34.304000000000002</v>
      </c>
      <c r="K4">
        <v>36.223129</v>
      </c>
      <c r="L4">
        <v>35.925333000000002</v>
      </c>
      <c r="M4">
        <v>18.431999999999999</v>
      </c>
      <c r="N4">
        <v>32</v>
      </c>
      <c r="O4">
        <v>37.034666999999999</v>
      </c>
      <c r="P4">
        <v>30.037333</v>
      </c>
      <c r="Q4">
        <v>31.488</v>
      </c>
      <c r="R4">
        <v>33.792000000000002</v>
      </c>
      <c r="S4">
        <v>4.7786670000000004</v>
      </c>
      <c r="T4">
        <v>14.592000000000001</v>
      </c>
      <c r="U4">
        <v>7.1680000000000001</v>
      </c>
      <c r="V4">
        <v>9.8133330000000001</v>
      </c>
      <c r="W4">
        <v>7.9359999999999999</v>
      </c>
      <c r="X4">
        <v>6.9973330000000002</v>
      </c>
      <c r="Y4">
        <v>7.68</v>
      </c>
      <c r="Z4">
        <v>9.5573329999999999</v>
      </c>
      <c r="CZ4">
        <f t="shared" ref="CZ4:CZ12" si="0">MAX(B4:CX4)</f>
        <v>54.241813999999998</v>
      </c>
      <c r="DA4" s="9" t="s">
        <v>75</v>
      </c>
    </row>
    <row r="5" spans="1:105" x14ac:dyDescent="0.25">
      <c r="A5" s="1" t="s">
        <v>4</v>
      </c>
      <c r="B5" s="1">
        <v>11.007999999999999</v>
      </c>
      <c r="C5" s="1">
        <v>32</v>
      </c>
      <c r="D5" s="1">
        <v>26.026667</v>
      </c>
      <c r="E5" s="1">
        <v>9.3866669999999992</v>
      </c>
      <c r="F5" s="1"/>
      <c r="L5" s="1"/>
      <c r="CZ5">
        <f t="shared" si="0"/>
        <v>32</v>
      </c>
      <c r="DA5" s="9" t="s">
        <v>76</v>
      </c>
    </row>
    <row r="6" spans="1:105" x14ac:dyDescent="0.25">
      <c r="A6" s="1" t="s">
        <v>4</v>
      </c>
      <c r="B6" s="1">
        <v>9.984</v>
      </c>
      <c r="C6" s="1">
        <v>8.1066669999999998</v>
      </c>
      <c r="D6" s="1">
        <v>7.765333</v>
      </c>
      <c r="E6" s="1">
        <v>9.1306670000000008</v>
      </c>
      <c r="F6" s="1">
        <v>16.554666999999998</v>
      </c>
      <c r="G6">
        <v>15.274667000000001</v>
      </c>
      <c r="H6">
        <v>18.858667000000001</v>
      </c>
      <c r="I6">
        <v>24.661332999999999</v>
      </c>
      <c r="J6">
        <v>26.794667</v>
      </c>
      <c r="K6">
        <v>8.5333330000000007</v>
      </c>
      <c r="L6">
        <v>14.592000000000001</v>
      </c>
      <c r="M6">
        <v>7.5093329999999998</v>
      </c>
      <c r="N6">
        <v>12.544</v>
      </c>
      <c r="O6">
        <v>25.002666999999999</v>
      </c>
      <c r="P6">
        <v>11.605333</v>
      </c>
      <c r="Q6">
        <v>11.263999999999999</v>
      </c>
      <c r="R6">
        <v>9.7279999999999998</v>
      </c>
      <c r="S6">
        <v>11.263999999999999</v>
      </c>
      <c r="T6">
        <v>6.6873469999999999</v>
      </c>
      <c r="U6">
        <v>19.626667000000001</v>
      </c>
      <c r="V6">
        <v>40.192</v>
      </c>
      <c r="W6">
        <v>26.282667</v>
      </c>
      <c r="X6">
        <v>30.037333</v>
      </c>
      <c r="Y6">
        <v>9.0453329999999994</v>
      </c>
      <c r="Z6">
        <v>15.530666999999999</v>
      </c>
      <c r="AA6">
        <v>7.4240000000000004</v>
      </c>
      <c r="AB6">
        <v>8.4480000000000004</v>
      </c>
      <c r="AC6">
        <v>7.1517460000000002</v>
      </c>
      <c r="AD6">
        <v>8.3626670000000001</v>
      </c>
      <c r="AE6">
        <v>7.4303850000000002</v>
      </c>
      <c r="AF6">
        <v>8.6186670000000003</v>
      </c>
      <c r="AG6">
        <v>20.565332999999999</v>
      </c>
      <c r="AH6">
        <v>10.496</v>
      </c>
      <c r="AI6">
        <v>13.226667000000001</v>
      </c>
      <c r="AM6" s="1"/>
      <c r="CZ6">
        <f t="shared" si="0"/>
        <v>40.192</v>
      </c>
      <c r="DA6" s="9" t="s">
        <v>77</v>
      </c>
    </row>
    <row r="7" spans="1:105" x14ac:dyDescent="0.25">
      <c r="A7" s="1" t="s">
        <v>4</v>
      </c>
      <c r="B7" s="1">
        <v>5.8879999999999999</v>
      </c>
      <c r="C7" s="1">
        <v>8.3626670000000001</v>
      </c>
      <c r="D7" s="1">
        <v>4.693333</v>
      </c>
      <c r="E7" s="1">
        <v>4.4373329999999997</v>
      </c>
      <c r="F7" s="1">
        <v>5.290667</v>
      </c>
      <c r="G7">
        <v>4.8639999999999999</v>
      </c>
      <c r="H7">
        <v>12.817415</v>
      </c>
      <c r="I7">
        <v>4.693333</v>
      </c>
      <c r="J7">
        <v>5.9733330000000002</v>
      </c>
      <c r="K7">
        <v>4.1813330000000004</v>
      </c>
      <c r="L7">
        <v>40.704000000000001</v>
      </c>
      <c r="M7">
        <v>3.84</v>
      </c>
      <c r="N7">
        <v>4.8639999999999999</v>
      </c>
      <c r="O7">
        <v>9.3013329999999996</v>
      </c>
      <c r="P7">
        <v>9.3013329999999996</v>
      </c>
      <c r="Q7">
        <v>4.6079999999999997</v>
      </c>
      <c r="R7">
        <v>8.2773330000000005</v>
      </c>
      <c r="S7">
        <v>4.9493330000000002</v>
      </c>
      <c r="T7">
        <v>5.9733330000000002</v>
      </c>
      <c r="U7">
        <v>4.7786670000000004</v>
      </c>
      <c r="V7">
        <v>25.941333</v>
      </c>
      <c r="W7">
        <v>6.9973330000000002</v>
      </c>
      <c r="X7">
        <v>5.9733330000000002</v>
      </c>
      <c r="Y7">
        <v>5.2053330000000004</v>
      </c>
      <c r="Z7">
        <v>4.7786670000000004</v>
      </c>
      <c r="AA7">
        <v>6.4853329999999998</v>
      </c>
      <c r="AB7">
        <v>5.290667</v>
      </c>
      <c r="AC7">
        <v>5.9733330000000002</v>
      </c>
      <c r="AD7">
        <v>4.8639999999999999</v>
      </c>
      <c r="AE7">
        <v>5.2053330000000004</v>
      </c>
      <c r="AF7">
        <v>4.6079999999999997</v>
      </c>
      <c r="AG7">
        <v>4.1813330000000004</v>
      </c>
      <c r="AH7">
        <v>5.5466670000000002</v>
      </c>
      <c r="AI7">
        <v>4.5226670000000002</v>
      </c>
      <c r="AJ7">
        <v>5.6319999999999997</v>
      </c>
      <c r="AK7">
        <v>5.5466670000000002</v>
      </c>
      <c r="AL7">
        <v>7.4303850000000002</v>
      </c>
      <c r="AM7">
        <v>7.9359999999999999</v>
      </c>
      <c r="AN7">
        <v>3.250794</v>
      </c>
      <c r="AO7" s="1"/>
      <c r="CZ7">
        <f t="shared" si="0"/>
        <v>40.704000000000001</v>
      </c>
      <c r="DA7" s="9" t="s">
        <v>78</v>
      </c>
    </row>
    <row r="8" spans="1:105" x14ac:dyDescent="0.25">
      <c r="A8" s="1" t="s">
        <v>4</v>
      </c>
      <c r="B8">
        <v>5.3760000000000003</v>
      </c>
      <c r="C8">
        <v>5.4613329999999998</v>
      </c>
      <c r="D8">
        <v>6.6559999999999997</v>
      </c>
      <c r="J8" s="1"/>
      <c r="CZ8">
        <f t="shared" si="0"/>
        <v>6.6559999999999997</v>
      </c>
      <c r="DA8" s="9" t="s">
        <v>79</v>
      </c>
    </row>
    <row r="9" spans="1:105" x14ac:dyDescent="0.25">
      <c r="A9" s="1" t="s">
        <v>4</v>
      </c>
      <c r="B9">
        <v>19.712</v>
      </c>
      <c r="C9">
        <v>20.224</v>
      </c>
      <c r="D9">
        <v>29.013332999999999</v>
      </c>
      <c r="E9">
        <v>25.941333</v>
      </c>
      <c r="F9">
        <v>17.322666999999999</v>
      </c>
      <c r="G9">
        <v>26.197333</v>
      </c>
      <c r="H9">
        <v>23.466667000000001</v>
      </c>
      <c r="I9">
        <v>16.896000000000001</v>
      </c>
      <c r="J9">
        <v>21.504000000000001</v>
      </c>
      <c r="K9">
        <v>20.992000000000001</v>
      </c>
      <c r="L9">
        <v>20.154921000000002</v>
      </c>
      <c r="M9">
        <v>29.269333</v>
      </c>
      <c r="N9">
        <v>20.309332999999999</v>
      </c>
      <c r="O9">
        <v>17.922999999999998</v>
      </c>
      <c r="P9">
        <v>22.783999999999999</v>
      </c>
      <c r="Q9">
        <v>23.466667000000001</v>
      </c>
      <c r="R9">
        <v>20.394666999999998</v>
      </c>
      <c r="S9">
        <v>20.992000000000001</v>
      </c>
      <c r="T9">
        <v>20.48</v>
      </c>
      <c r="U9">
        <v>22.442667</v>
      </c>
      <c r="V9">
        <v>24.32</v>
      </c>
      <c r="W9">
        <v>31.488</v>
      </c>
      <c r="X9">
        <v>17.664000000000001</v>
      </c>
      <c r="Y9">
        <v>20.619319999999998</v>
      </c>
      <c r="Z9">
        <v>27.818667000000001</v>
      </c>
      <c r="AA9">
        <v>32.768000000000001</v>
      </c>
      <c r="AB9">
        <v>21.504000000000001</v>
      </c>
      <c r="AC9">
        <v>24.661332999999999</v>
      </c>
      <c r="AD9">
        <v>18.090667</v>
      </c>
      <c r="AE9">
        <v>16.554666999999998</v>
      </c>
      <c r="AF9">
        <v>23.210667000000001</v>
      </c>
      <c r="AG9">
        <v>20.650666999999999</v>
      </c>
      <c r="AH9">
        <v>24.613151999999999</v>
      </c>
      <c r="AI9">
        <v>28.421223999999999</v>
      </c>
      <c r="AJ9">
        <v>27.863945999999999</v>
      </c>
      <c r="AK9">
        <v>16.64</v>
      </c>
      <c r="AL9">
        <v>20.053332999999999</v>
      </c>
      <c r="AM9">
        <v>26.709333000000001</v>
      </c>
      <c r="AN9">
        <v>23.338667000000001</v>
      </c>
      <c r="AO9">
        <v>12.202667</v>
      </c>
      <c r="AP9">
        <v>11.434666999999999</v>
      </c>
      <c r="AQ9">
        <v>21.76</v>
      </c>
      <c r="AR9">
        <v>17.152000000000001</v>
      </c>
      <c r="AS9">
        <v>13.055999999999999</v>
      </c>
      <c r="AT9">
        <v>13.281814000000001</v>
      </c>
      <c r="AU9">
        <v>17.322666999999999</v>
      </c>
      <c r="AV9">
        <v>22.783999999999999</v>
      </c>
      <c r="AW9">
        <v>10.325333000000001</v>
      </c>
      <c r="AX9">
        <v>12.288</v>
      </c>
      <c r="AY9">
        <v>11.007999999999999</v>
      </c>
      <c r="AZ9">
        <v>23.04</v>
      </c>
      <c r="BA9">
        <v>22.783999999999999</v>
      </c>
      <c r="BB9">
        <v>22.613333000000001</v>
      </c>
      <c r="BC9">
        <v>18.687999999999999</v>
      </c>
      <c r="BD9">
        <v>16.64</v>
      </c>
      <c r="BE9">
        <v>12.117333</v>
      </c>
      <c r="BF9">
        <v>21.162666999999999</v>
      </c>
      <c r="BG9">
        <v>13.397333</v>
      </c>
      <c r="BH9">
        <v>14.677333000000001</v>
      </c>
      <c r="BI9">
        <v>22.271999999999998</v>
      </c>
      <c r="BJ9">
        <v>16.64</v>
      </c>
      <c r="BN9" s="1"/>
      <c r="CZ9">
        <f t="shared" si="0"/>
        <v>32.768000000000001</v>
      </c>
      <c r="DA9" s="9" t="s">
        <v>81</v>
      </c>
    </row>
    <row r="10" spans="1:105" x14ac:dyDescent="0.25">
      <c r="A10" s="1" t="s">
        <v>4</v>
      </c>
      <c r="B10">
        <v>19.626667000000001</v>
      </c>
      <c r="C10">
        <v>15.530666999999999</v>
      </c>
      <c r="CZ10">
        <f t="shared" si="0"/>
        <v>19.626667000000001</v>
      </c>
      <c r="DA10" s="9" t="s">
        <v>80</v>
      </c>
    </row>
    <row r="11" spans="1:105" x14ac:dyDescent="0.25">
      <c r="A11" s="1" t="s">
        <v>4</v>
      </c>
      <c r="B11">
        <v>15.018667000000001</v>
      </c>
      <c r="C11">
        <v>13.397333</v>
      </c>
      <c r="D11">
        <v>13.824</v>
      </c>
      <c r="E11">
        <v>14.506667</v>
      </c>
      <c r="F11">
        <v>13.824</v>
      </c>
      <c r="G11">
        <v>15.36</v>
      </c>
      <c r="H11">
        <v>12.032</v>
      </c>
      <c r="I11">
        <v>13.397333</v>
      </c>
      <c r="J11">
        <v>11.434666999999999</v>
      </c>
      <c r="K11">
        <v>14.165333</v>
      </c>
      <c r="L11">
        <v>14.08</v>
      </c>
      <c r="M11">
        <v>11.690666999999999</v>
      </c>
      <c r="N11">
        <v>10.069333</v>
      </c>
      <c r="O11">
        <v>12.8</v>
      </c>
      <c r="P11">
        <v>12.373333000000001</v>
      </c>
      <c r="Q11">
        <v>13.824</v>
      </c>
      <c r="R11">
        <v>16.128</v>
      </c>
      <c r="S11">
        <v>16.469332999999999</v>
      </c>
      <c r="T11">
        <v>17.066666999999999</v>
      </c>
      <c r="U11">
        <v>14.250667</v>
      </c>
      <c r="V11">
        <v>18.204443999999999</v>
      </c>
      <c r="W11">
        <v>13.746212999999999</v>
      </c>
      <c r="X11">
        <v>14.165333</v>
      </c>
      <c r="Y11">
        <v>12.167256</v>
      </c>
      <c r="Z11">
        <v>11.434666999999999</v>
      </c>
      <c r="AA11">
        <v>11.145578</v>
      </c>
      <c r="AB11">
        <v>12.970667000000001</v>
      </c>
      <c r="AC11">
        <v>10.154667</v>
      </c>
      <c r="AD11">
        <v>12.373333000000001</v>
      </c>
      <c r="AE11">
        <v>13.909333</v>
      </c>
      <c r="AF11">
        <v>12.117333</v>
      </c>
      <c r="BN11" s="1"/>
      <c r="CZ11">
        <f t="shared" si="0"/>
        <v>18.204443999999999</v>
      </c>
      <c r="DA11" s="9" t="s">
        <v>86</v>
      </c>
    </row>
    <row r="12" spans="1:105" x14ac:dyDescent="0.25">
      <c r="DA12" s="9" t="s">
        <v>95</v>
      </c>
    </row>
    <row r="13" spans="1:105" x14ac:dyDescent="0.25">
      <c r="CZ13" s="9">
        <f>MAX(CZ3:CZ12)</f>
        <v>54.241813999999998</v>
      </c>
    </row>
    <row r="14" spans="1:105" x14ac:dyDescent="0.25">
      <c r="CZ14">
        <f t="shared" ref="CZ4:CZ33" si="1">MAX(B14:CX14)</f>
        <v>0</v>
      </c>
    </row>
    <row r="15" spans="1:10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>
        <f t="shared" si="1"/>
        <v>0</v>
      </c>
      <c r="DA15" s="12"/>
    </row>
    <row r="16" spans="1:105" x14ac:dyDescent="0.25">
      <c r="CZ16">
        <f t="shared" si="1"/>
        <v>0</v>
      </c>
    </row>
    <row r="17" spans="1:105" x14ac:dyDescent="0.25">
      <c r="CZ17">
        <f t="shared" si="1"/>
        <v>0</v>
      </c>
    </row>
    <row r="18" spans="1:105" x14ac:dyDescent="0.25">
      <c r="CZ18">
        <f t="shared" si="1"/>
        <v>0</v>
      </c>
    </row>
    <row r="19" spans="1:105" x14ac:dyDescent="0.25">
      <c r="CZ19">
        <f t="shared" si="1"/>
        <v>0</v>
      </c>
    </row>
    <row r="20" spans="1:105" x14ac:dyDescent="0.25">
      <c r="A20" t="s">
        <v>71</v>
      </c>
      <c r="CZ20">
        <f t="shared" si="1"/>
        <v>0</v>
      </c>
    </row>
    <row r="21" spans="1:105" x14ac:dyDescent="0.25">
      <c r="CZ21">
        <f t="shared" si="1"/>
        <v>0</v>
      </c>
    </row>
    <row r="22" spans="1:105" x14ac:dyDescent="0.25">
      <c r="CZ22">
        <f t="shared" si="1"/>
        <v>0</v>
      </c>
    </row>
    <row r="23" spans="1:105" ht="26.25" x14ac:dyDescent="0.4">
      <c r="A23" s="22" t="s">
        <v>70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CZ23">
        <f t="shared" si="1"/>
        <v>0</v>
      </c>
    </row>
    <row r="24" spans="1:105" x14ac:dyDescent="0.25">
      <c r="A24" s="1" t="s">
        <v>4</v>
      </c>
      <c r="B24" s="1">
        <v>10.309659999999999</v>
      </c>
      <c r="C24" s="1">
        <v>10.069333</v>
      </c>
      <c r="D24" s="1">
        <v>18.005333</v>
      </c>
      <c r="E24" s="1">
        <v>13.909333</v>
      </c>
      <c r="F24" s="1">
        <v>41.301333</v>
      </c>
      <c r="G24" s="1">
        <v>26.538667</v>
      </c>
      <c r="H24" s="1">
        <v>69.973332999999997</v>
      </c>
      <c r="I24" s="1">
        <v>24.917332999999999</v>
      </c>
      <c r="J24" s="1">
        <v>26.88</v>
      </c>
      <c r="K24" s="1">
        <v>26.749388</v>
      </c>
      <c r="L24" s="1">
        <v>33.194667000000003</v>
      </c>
      <c r="M24" s="1"/>
      <c r="CZ24">
        <f t="shared" si="1"/>
        <v>69.973332999999997</v>
      </c>
      <c r="DA24" s="9" t="s">
        <v>64</v>
      </c>
    </row>
    <row r="25" spans="1:105" x14ac:dyDescent="0.25">
      <c r="A25" s="1" t="s">
        <v>4</v>
      </c>
      <c r="B25" s="1">
        <v>42.538957000000003</v>
      </c>
      <c r="C25" s="1">
        <v>12.8</v>
      </c>
      <c r="D25" s="1">
        <v>16.904126999999999</v>
      </c>
      <c r="E25" s="1">
        <v>28.330666999999998</v>
      </c>
      <c r="F25" s="1">
        <v>21.333333</v>
      </c>
      <c r="G25" s="1">
        <v>17.152000000000001</v>
      </c>
      <c r="H25" s="1">
        <v>26.111999999999998</v>
      </c>
      <c r="I25" s="1">
        <v>27.562667000000001</v>
      </c>
      <c r="J25" s="1">
        <v>37.375999999999998</v>
      </c>
      <c r="K25" s="1">
        <v>42.074558000000003</v>
      </c>
      <c r="L25" s="1">
        <v>18.346667</v>
      </c>
      <c r="M25" s="1">
        <v>25.258666999999999</v>
      </c>
      <c r="N25" s="1">
        <v>22.015999999999998</v>
      </c>
      <c r="O25" s="1">
        <v>19.541333000000002</v>
      </c>
      <c r="P25" s="1">
        <v>37.631999999999998</v>
      </c>
      <c r="Q25" s="1">
        <v>18.773333000000001</v>
      </c>
      <c r="R25" s="1">
        <v>20.309332999999999</v>
      </c>
      <c r="S25" s="1">
        <v>20.224</v>
      </c>
      <c r="T25" s="1">
        <v>30.037333</v>
      </c>
      <c r="U25" s="1">
        <v>24.661332999999999</v>
      </c>
      <c r="V25" s="1"/>
      <c r="CZ25">
        <f t="shared" si="1"/>
        <v>42.538957000000003</v>
      </c>
      <c r="DA25" s="9" t="s">
        <v>75</v>
      </c>
    </row>
    <row r="26" spans="1:105" x14ac:dyDescent="0.25">
      <c r="A26" s="1" t="s">
        <v>4</v>
      </c>
      <c r="B26" s="1">
        <v>29.696000000000002</v>
      </c>
      <c r="CZ26">
        <f t="shared" si="1"/>
        <v>29.696000000000002</v>
      </c>
      <c r="DA26" s="9" t="s">
        <v>76</v>
      </c>
    </row>
    <row r="27" spans="1:105" x14ac:dyDescent="0.25">
      <c r="A27" s="1" t="s">
        <v>4</v>
      </c>
      <c r="B27" s="1">
        <v>11.093332999999999</v>
      </c>
      <c r="C27" s="1">
        <v>12.629333000000001</v>
      </c>
      <c r="D27" s="1">
        <v>15.018667000000001</v>
      </c>
      <c r="E27" s="1">
        <v>9.4719999999999995</v>
      </c>
      <c r="F27" s="1">
        <v>27.648</v>
      </c>
      <c r="G27" s="1">
        <v>24.746666999999999</v>
      </c>
      <c r="H27" s="1">
        <v>23.381333000000001</v>
      </c>
      <c r="I27" s="1">
        <v>11.093332999999999</v>
      </c>
      <c r="J27" s="1">
        <v>49.578667000000003</v>
      </c>
      <c r="K27" s="1">
        <v>21.333333</v>
      </c>
      <c r="L27" s="1">
        <v>21.930667</v>
      </c>
      <c r="M27" s="1">
        <v>29.013332999999999</v>
      </c>
      <c r="N27" s="1">
        <v>11.605333</v>
      </c>
      <c r="O27" s="1">
        <v>21.930667</v>
      </c>
      <c r="P27" s="1">
        <v>19.285333000000001</v>
      </c>
      <c r="Q27">
        <v>28.672000000000001</v>
      </c>
      <c r="R27">
        <v>30.463999999999999</v>
      </c>
      <c r="S27">
        <v>21.418666999999999</v>
      </c>
      <c r="T27">
        <v>27.135999999999999</v>
      </c>
      <c r="U27">
        <v>40.362667000000002</v>
      </c>
      <c r="V27">
        <v>6.2293329999999996</v>
      </c>
      <c r="W27">
        <v>22.186667</v>
      </c>
      <c r="X27">
        <v>16.469332999999999</v>
      </c>
      <c r="Y27">
        <v>6.9119999999999999</v>
      </c>
      <c r="Z27">
        <v>12.631655</v>
      </c>
      <c r="AA27">
        <v>9.8986669999999997</v>
      </c>
      <c r="AB27">
        <v>7.0826669999999998</v>
      </c>
      <c r="AC27">
        <v>6.9973330000000002</v>
      </c>
      <c r="AD27">
        <v>19.797332999999998</v>
      </c>
      <c r="AE27">
        <v>10.24</v>
      </c>
      <c r="AF27">
        <v>22.357333000000001</v>
      </c>
      <c r="AG27">
        <v>7.0826669999999998</v>
      </c>
      <c r="AH27">
        <v>19.797332999999998</v>
      </c>
      <c r="AI27">
        <v>25.002666999999999</v>
      </c>
      <c r="AJ27">
        <v>66.389332999999993</v>
      </c>
      <c r="AK27">
        <v>10.069333</v>
      </c>
      <c r="AL27">
        <v>23.125333000000001</v>
      </c>
      <c r="AM27">
        <v>22.569796</v>
      </c>
      <c r="AN27">
        <v>13.397333</v>
      </c>
      <c r="AO27">
        <v>10.24</v>
      </c>
      <c r="AP27">
        <v>9.6595010000000006</v>
      </c>
      <c r="AQ27">
        <v>9.7279999999999998</v>
      </c>
      <c r="AR27">
        <v>46.254150000000003</v>
      </c>
      <c r="AS27">
        <v>41.130667000000003</v>
      </c>
      <c r="AT27">
        <v>6.8266669999999996</v>
      </c>
      <c r="AU27">
        <v>9.8133330000000001</v>
      </c>
      <c r="AV27">
        <v>27.863945999999999</v>
      </c>
      <c r="AW27">
        <v>33.962667000000003</v>
      </c>
      <c r="AX27">
        <v>21.76</v>
      </c>
      <c r="AY27">
        <v>93.44</v>
      </c>
      <c r="CZ27">
        <f t="shared" si="1"/>
        <v>93.44</v>
      </c>
      <c r="DA27" s="9" t="s">
        <v>77</v>
      </c>
    </row>
    <row r="28" spans="1:105" x14ac:dyDescent="0.25">
      <c r="A28" s="1" t="s">
        <v>4</v>
      </c>
      <c r="B28" s="1">
        <v>13.653333</v>
      </c>
      <c r="C28" s="1">
        <v>23.893332999999998</v>
      </c>
      <c r="D28" s="1">
        <v>14.08</v>
      </c>
      <c r="E28" s="1">
        <v>23.04</v>
      </c>
      <c r="F28" s="1">
        <v>10.837332999999999</v>
      </c>
      <c r="G28" s="1">
        <v>19.370667000000001</v>
      </c>
      <c r="H28" s="1">
        <v>12.373333000000001</v>
      </c>
      <c r="I28" s="1">
        <v>49.578667000000003</v>
      </c>
      <c r="J28" s="1">
        <v>17.237333</v>
      </c>
      <c r="K28" s="1">
        <v>14.506667</v>
      </c>
      <c r="L28" s="1">
        <v>12.714667</v>
      </c>
      <c r="M28" s="1">
        <v>19.690522000000001</v>
      </c>
      <c r="N28" s="1">
        <v>13.994667</v>
      </c>
      <c r="O28" s="1">
        <v>12.885332999999999</v>
      </c>
      <c r="P28" s="1">
        <v>12.544</v>
      </c>
      <c r="Q28">
        <v>14.762667</v>
      </c>
      <c r="R28">
        <v>24.32</v>
      </c>
      <c r="S28">
        <v>14.506667</v>
      </c>
      <c r="T28">
        <v>12.629333000000001</v>
      </c>
      <c r="U28">
        <v>22.101333</v>
      </c>
      <c r="V28">
        <v>18.005333</v>
      </c>
      <c r="W28">
        <v>32.597332999999999</v>
      </c>
      <c r="X28">
        <v>64.256</v>
      </c>
      <c r="Y28">
        <v>14.762667</v>
      </c>
      <c r="Z28">
        <v>11.605333</v>
      </c>
      <c r="AA28">
        <v>19.226122</v>
      </c>
      <c r="AB28">
        <v>15.274667000000001</v>
      </c>
      <c r="AC28">
        <v>14.250667</v>
      </c>
      <c r="AD28">
        <v>23.381333000000001</v>
      </c>
      <c r="AE28">
        <v>15.445333</v>
      </c>
      <c r="AF28">
        <v>12.970667000000001</v>
      </c>
      <c r="AG28">
        <v>24.661332999999999</v>
      </c>
      <c r="AH28">
        <v>24.149332999999999</v>
      </c>
      <c r="AI28">
        <v>39.423999999999999</v>
      </c>
      <c r="AJ28">
        <v>38.143999999999998</v>
      </c>
      <c r="AK28">
        <v>21.418666999999999</v>
      </c>
      <c r="AL28">
        <v>15.957333</v>
      </c>
      <c r="AM28">
        <v>8.9600000000000009</v>
      </c>
      <c r="AN28">
        <v>22.015999999999998</v>
      </c>
      <c r="AO28">
        <v>15.789569</v>
      </c>
      <c r="AP28">
        <v>19.2</v>
      </c>
      <c r="AQ28">
        <v>20.48</v>
      </c>
      <c r="AR28">
        <v>14.592000000000001</v>
      </c>
      <c r="AS28">
        <v>11.093332999999999</v>
      </c>
      <c r="AT28">
        <v>7.9359999999999999</v>
      </c>
      <c r="AU28">
        <v>30.975999999999999</v>
      </c>
      <c r="AV28">
        <v>12.288</v>
      </c>
      <c r="AW28">
        <v>26.111999999999998</v>
      </c>
      <c r="AX28">
        <v>17.408000000000001</v>
      </c>
      <c r="AY28">
        <v>27.989332999999998</v>
      </c>
      <c r="AZ28">
        <v>16.981332999999999</v>
      </c>
      <c r="BA28">
        <v>14.933332999999999</v>
      </c>
      <c r="BB28">
        <v>17.066666999999999</v>
      </c>
      <c r="BC28">
        <v>21.674659999999999</v>
      </c>
      <c r="BD28">
        <v>15.786667</v>
      </c>
      <c r="BE28">
        <v>30.805333000000001</v>
      </c>
      <c r="BF28">
        <v>15.872</v>
      </c>
      <c r="BI28" s="1"/>
      <c r="BJ28" s="1"/>
      <c r="CZ28">
        <f t="shared" si="1"/>
        <v>64.256</v>
      </c>
      <c r="DA28" s="9" t="s">
        <v>78</v>
      </c>
    </row>
    <row r="29" spans="1:105" x14ac:dyDescent="0.25">
      <c r="A29" s="1" t="s">
        <v>4</v>
      </c>
      <c r="B29" s="1">
        <v>12.032</v>
      </c>
      <c r="C29" s="1">
        <v>16.469332999999999</v>
      </c>
      <c r="D29" s="1">
        <v>20.309332999999999</v>
      </c>
      <c r="E29" s="1">
        <v>29.610666999999999</v>
      </c>
      <c r="F29" s="1">
        <v>15.616</v>
      </c>
      <c r="G29" s="1">
        <v>12.458667</v>
      </c>
      <c r="H29" s="1">
        <v>21.418666999999999</v>
      </c>
      <c r="I29" s="1">
        <v>15.018667000000001</v>
      </c>
      <c r="J29" s="1">
        <v>21.845333</v>
      </c>
      <c r="K29" s="1">
        <v>15.872</v>
      </c>
      <c r="L29" s="1">
        <v>16.64</v>
      </c>
      <c r="M29" s="1">
        <v>25.344000000000001</v>
      </c>
      <c r="N29" s="1">
        <v>19.285333000000001</v>
      </c>
      <c r="O29" s="1">
        <v>13.653333</v>
      </c>
      <c r="P29" s="1">
        <v>18.858667000000001</v>
      </c>
      <c r="Q29">
        <v>35.072000000000003</v>
      </c>
      <c r="R29">
        <v>12.373333000000001</v>
      </c>
      <c r="S29">
        <v>17.749333</v>
      </c>
      <c r="T29">
        <v>11.349333</v>
      </c>
      <c r="U29">
        <v>25.356190000000002</v>
      </c>
      <c r="V29">
        <v>19.114667000000001</v>
      </c>
      <c r="W29">
        <v>13.482666999999999</v>
      </c>
      <c r="X29">
        <v>26.282667</v>
      </c>
      <c r="Y29">
        <v>14.250667</v>
      </c>
      <c r="Z29">
        <v>19.968</v>
      </c>
      <c r="AA29">
        <v>20.565332999999999</v>
      </c>
      <c r="AB29">
        <v>21.76</v>
      </c>
      <c r="AC29">
        <v>17.664000000000001</v>
      </c>
      <c r="AD29">
        <v>19.2</v>
      </c>
      <c r="AE29">
        <v>9.5573329999999999</v>
      </c>
      <c r="AF29">
        <v>12.885332999999999</v>
      </c>
      <c r="AG29">
        <v>15.274667000000001</v>
      </c>
      <c r="AH29">
        <v>15.957333</v>
      </c>
      <c r="AI29">
        <v>18.005333</v>
      </c>
      <c r="AJ29">
        <v>16.981332999999999</v>
      </c>
      <c r="AK29">
        <v>28.501332999999999</v>
      </c>
      <c r="AL29">
        <v>27.306667000000001</v>
      </c>
      <c r="AM29">
        <v>21.269477999999999</v>
      </c>
      <c r="AN29">
        <v>18.687999999999999</v>
      </c>
      <c r="AO29">
        <v>21.845333</v>
      </c>
      <c r="AP29">
        <v>19.456</v>
      </c>
      <c r="AQ29">
        <v>17.920000000000002</v>
      </c>
      <c r="AR29">
        <v>18.261333</v>
      </c>
      <c r="AS29">
        <v>14.08</v>
      </c>
      <c r="AT29">
        <v>21.845333</v>
      </c>
      <c r="AU29">
        <v>18.575963999999999</v>
      </c>
      <c r="AV29">
        <v>21.845333</v>
      </c>
      <c r="AW29">
        <v>24.490666999999998</v>
      </c>
      <c r="AX29">
        <v>15.872</v>
      </c>
      <c r="AY29">
        <v>11.861333</v>
      </c>
      <c r="AZ29">
        <v>21.418666999999999</v>
      </c>
      <c r="BA29">
        <v>18.005333</v>
      </c>
      <c r="BB29">
        <v>22.783999999999999</v>
      </c>
      <c r="BC29">
        <v>29.013332999999999</v>
      </c>
      <c r="BD29">
        <v>12.373333000000001</v>
      </c>
      <c r="BE29">
        <v>20.906666999999999</v>
      </c>
      <c r="BF29">
        <v>23.552</v>
      </c>
      <c r="BG29">
        <v>25.514666999999999</v>
      </c>
      <c r="BH29">
        <v>15.789569</v>
      </c>
      <c r="BI29">
        <v>28.074667000000002</v>
      </c>
      <c r="BJ29">
        <v>13.994667</v>
      </c>
      <c r="BK29">
        <v>18.346667</v>
      </c>
      <c r="BL29">
        <v>14.421333000000001</v>
      </c>
      <c r="BM29">
        <v>20.712199999999999</v>
      </c>
      <c r="BN29">
        <v>17.920000000000002</v>
      </c>
      <c r="BO29">
        <v>15.616</v>
      </c>
      <c r="BP29">
        <v>17.066666999999999</v>
      </c>
      <c r="BQ29">
        <v>14.506667</v>
      </c>
      <c r="BR29">
        <v>19.712</v>
      </c>
      <c r="BS29">
        <v>15.616</v>
      </c>
      <c r="BT29">
        <v>17.066666999999999</v>
      </c>
      <c r="BU29">
        <v>11.263999999999999</v>
      </c>
      <c r="BV29">
        <v>16.213332999999999</v>
      </c>
      <c r="BW29">
        <v>17.493333</v>
      </c>
      <c r="BX29">
        <v>25.913468999999999</v>
      </c>
      <c r="BY29">
        <v>14.421333000000001</v>
      </c>
      <c r="BZ29">
        <v>16.896000000000001</v>
      </c>
      <c r="CA29">
        <v>15.957333</v>
      </c>
      <c r="CB29">
        <v>18.687999999999999</v>
      </c>
      <c r="CC29">
        <v>18.261333</v>
      </c>
      <c r="CD29">
        <v>15.445333</v>
      </c>
      <c r="CE29">
        <v>21.077332999999999</v>
      </c>
      <c r="CF29">
        <v>30.72</v>
      </c>
      <c r="CG29">
        <v>15.786667</v>
      </c>
      <c r="CH29">
        <v>15.445333</v>
      </c>
      <c r="CI29">
        <v>26.623999999999999</v>
      </c>
      <c r="CJ29">
        <v>14.336</v>
      </c>
      <c r="CK29">
        <v>14.08</v>
      </c>
      <c r="CL29">
        <v>24.405332999999999</v>
      </c>
      <c r="CM29">
        <v>26.197333</v>
      </c>
      <c r="CN29">
        <v>10.496</v>
      </c>
      <c r="CO29">
        <v>15.32517</v>
      </c>
      <c r="CP29">
        <v>10.752000000000001</v>
      </c>
      <c r="CQ29">
        <v>20.394666999999998</v>
      </c>
      <c r="CR29">
        <v>14.592000000000001</v>
      </c>
      <c r="CS29">
        <v>27.477333000000002</v>
      </c>
      <c r="CW29" s="1"/>
      <c r="CZ29">
        <f t="shared" si="1"/>
        <v>35.072000000000003</v>
      </c>
      <c r="DA29" s="9" t="s">
        <v>79</v>
      </c>
    </row>
    <row r="30" spans="1:105" x14ac:dyDescent="0.25">
      <c r="A30" s="1" t="s">
        <v>4</v>
      </c>
      <c r="B30" s="1">
        <v>15.36</v>
      </c>
      <c r="C30" s="1">
        <v>25.088000000000001</v>
      </c>
      <c r="D30" s="1">
        <v>20.906666999999999</v>
      </c>
      <c r="E30" s="1">
        <v>18.261333</v>
      </c>
      <c r="F30" s="1">
        <v>12.032</v>
      </c>
      <c r="G30" s="1">
        <v>18.687999999999999</v>
      </c>
      <c r="H30" s="1">
        <v>14.250667</v>
      </c>
      <c r="I30" s="1">
        <v>18.261333</v>
      </c>
      <c r="J30" s="1">
        <v>13.653333</v>
      </c>
      <c r="K30" s="1">
        <v>18.602667</v>
      </c>
      <c r="L30" s="1">
        <v>15.530666999999999</v>
      </c>
      <c r="M30" s="1">
        <v>15.274667000000001</v>
      </c>
      <c r="N30" s="1">
        <v>18.005333</v>
      </c>
      <c r="O30" s="1">
        <v>23.210667000000001</v>
      </c>
      <c r="P30" s="1">
        <v>24.576000000000001</v>
      </c>
      <c r="Q30">
        <v>36.095999999999997</v>
      </c>
      <c r="R30">
        <v>18.602667</v>
      </c>
      <c r="S30">
        <v>33.962667000000003</v>
      </c>
      <c r="T30">
        <v>21.248000000000001</v>
      </c>
      <c r="U30">
        <v>15.103999999999999</v>
      </c>
      <c r="V30">
        <v>16.253968</v>
      </c>
      <c r="W30">
        <v>18.668844</v>
      </c>
      <c r="X30">
        <v>18.773333000000001</v>
      </c>
      <c r="Y30">
        <v>15.189333</v>
      </c>
      <c r="Z30">
        <v>21.162666999999999</v>
      </c>
      <c r="AA30">
        <v>15.274667000000001</v>
      </c>
      <c r="AB30">
        <v>43.178666999999997</v>
      </c>
      <c r="AC30">
        <v>25.344000000000001</v>
      </c>
      <c r="AD30">
        <v>15.232290000000001</v>
      </c>
      <c r="AE30">
        <v>24.064</v>
      </c>
      <c r="AF30">
        <v>17.152000000000001</v>
      </c>
      <c r="AG30">
        <v>22.869333000000001</v>
      </c>
      <c r="AH30">
        <v>18.943999999999999</v>
      </c>
      <c r="AI30">
        <v>21.162666999999999</v>
      </c>
      <c r="AJ30">
        <v>15.914667</v>
      </c>
      <c r="AK30">
        <v>17.152000000000001</v>
      </c>
      <c r="AL30">
        <v>39.594667000000001</v>
      </c>
      <c r="AM30">
        <v>15.36</v>
      </c>
      <c r="AN30">
        <v>19.968</v>
      </c>
      <c r="AO30">
        <v>24.064</v>
      </c>
      <c r="AP30">
        <v>23.466667000000001</v>
      </c>
      <c r="AQ30">
        <v>30.037333</v>
      </c>
      <c r="AR30">
        <v>31.061333000000001</v>
      </c>
      <c r="AS30">
        <v>17.493333</v>
      </c>
      <c r="AT30">
        <v>41.472000000000001</v>
      </c>
      <c r="AU30">
        <v>18.090667</v>
      </c>
      <c r="AV30">
        <v>12.288</v>
      </c>
      <c r="CW30" s="1"/>
      <c r="CZ30">
        <f t="shared" si="1"/>
        <v>43.178666999999997</v>
      </c>
      <c r="DA30" s="9" t="s">
        <v>81</v>
      </c>
    </row>
    <row r="31" spans="1:105" x14ac:dyDescent="0.25">
      <c r="A31" s="1" t="s">
        <v>4</v>
      </c>
      <c r="B31" s="1">
        <v>35.498666999999998</v>
      </c>
      <c r="C31" s="1">
        <v>33.962667000000003</v>
      </c>
      <c r="D31" s="1">
        <v>18.602667</v>
      </c>
      <c r="E31" s="1">
        <v>14.592000000000001</v>
      </c>
      <c r="F31" s="1">
        <v>18.005333</v>
      </c>
      <c r="G31" s="1">
        <v>20.309332999999999</v>
      </c>
      <c r="H31" s="1">
        <v>20.821332999999999</v>
      </c>
      <c r="I31" s="1">
        <v>17.493333</v>
      </c>
      <c r="J31" s="1">
        <v>19.2</v>
      </c>
      <c r="K31" s="1">
        <v>25.429333</v>
      </c>
      <c r="L31" s="1">
        <v>22.442667</v>
      </c>
      <c r="M31" s="1">
        <v>40.96</v>
      </c>
      <c r="N31" s="1">
        <v>22.101333</v>
      </c>
      <c r="O31" s="1">
        <v>56.149332999999999</v>
      </c>
      <c r="P31" s="1">
        <v>19.541333000000002</v>
      </c>
      <c r="Q31">
        <v>18.005333</v>
      </c>
      <c r="R31">
        <v>22.783999999999999</v>
      </c>
      <c r="S31">
        <v>21.845333</v>
      </c>
      <c r="T31">
        <v>20.053332999999999</v>
      </c>
      <c r="U31">
        <v>22.271999999999998</v>
      </c>
      <c r="V31">
        <v>18.943999999999999</v>
      </c>
      <c r="W31">
        <v>13.397333</v>
      </c>
      <c r="X31">
        <v>17.322666999999999</v>
      </c>
      <c r="Y31">
        <v>17.237333</v>
      </c>
      <c r="Z31">
        <v>33.024000000000001</v>
      </c>
      <c r="AA31">
        <v>19.969161</v>
      </c>
      <c r="AB31">
        <v>14.08</v>
      </c>
      <c r="AC31">
        <v>13.003175000000001</v>
      </c>
      <c r="AD31">
        <v>16.64</v>
      </c>
      <c r="AE31">
        <v>12.032</v>
      </c>
      <c r="AF31">
        <v>19.114667000000001</v>
      </c>
      <c r="AG31">
        <v>21.504000000000001</v>
      </c>
      <c r="AH31">
        <v>17.408000000000001</v>
      </c>
      <c r="AI31">
        <v>20.992000000000001</v>
      </c>
      <c r="AJ31">
        <v>21.826757000000001</v>
      </c>
      <c r="AK31">
        <v>13.482666999999999</v>
      </c>
      <c r="AL31">
        <v>15.957333</v>
      </c>
      <c r="AM31">
        <v>29.098666999999999</v>
      </c>
      <c r="AN31">
        <v>13.311999999999999</v>
      </c>
      <c r="AO31">
        <v>15.445333</v>
      </c>
      <c r="AP31">
        <v>18.090667</v>
      </c>
      <c r="AQ31">
        <v>14.210611999999999</v>
      </c>
      <c r="AR31">
        <v>39.338667000000001</v>
      </c>
      <c r="AS31">
        <v>19.370667000000001</v>
      </c>
      <c r="AT31">
        <v>18.090667</v>
      </c>
      <c r="AU31">
        <v>36.778666999999999</v>
      </c>
      <c r="AV31">
        <v>26.367999999999999</v>
      </c>
      <c r="AW31">
        <v>17.664000000000001</v>
      </c>
      <c r="AX31">
        <v>13.226667000000001</v>
      </c>
      <c r="AY31">
        <v>29.269333</v>
      </c>
      <c r="AZ31">
        <v>14.860771</v>
      </c>
      <c r="BA31">
        <v>24.149332999999999</v>
      </c>
      <c r="BB31">
        <v>17.322666999999999</v>
      </c>
      <c r="BC31">
        <v>27.989332999999998</v>
      </c>
      <c r="BD31">
        <v>32.426667000000002</v>
      </c>
      <c r="BE31">
        <v>25.088000000000001</v>
      </c>
      <c r="BF31">
        <v>18.261333</v>
      </c>
      <c r="BG31">
        <v>25.429333</v>
      </c>
      <c r="BH31">
        <v>21.504000000000001</v>
      </c>
      <c r="BI31">
        <v>31.207619000000001</v>
      </c>
      <c r="BJ31">
        <v>19.2</v>
      </c>
      <c r="BK31">
        <v>17.749333</v>
      </c>
      <c r="CW31" s="1"/>
      <c r="CZ31">
        <f t="shared" si="1"/>
        <v>56.149332999999999</v>
      </c>
      <c r="DA31" s="9" t="s">
        <v>80</v>
      </c>
    </row>
    <row r="32" spans="1:105" x14ac:dyDescent="0.25">
      <c r="A32" s="1" t="s">
        <v>4</v>
      </c>
      <c r="B32" s="1">
        <v>27.904</v>
      </c>
      <c r="C32" s="1">
        <v>40.874667000000002</v>
      </c>
      <c r="D32" s="1">
        <v>17.408000000000001</v>
      </c>
      <c r="E32" s="1">
        <v>19.712</v>
      </c>
      <c r="F32" s="1">
        <v>21.674666999999999</v>
      </c>
      <c r="G32" s="1">
        <v>26.709333000000001</v>
      </c>
      <c r="H32" s="1">
        <v>19.370667000000001</v>
      </c>
      <c r="I32" s="1">
        <v>14.762667</v>
      </c>
      <c r="J32" s="1">
        <v>24.832000000000001</v>
      </c>
      <c r="K32" s="1">
        <v>18.261333</v>
      </c>
      <c r="L32" s="1">
        <v>25.770667</v>
      </c>
      <c r="M32" s="1">
        <v>20.053332999999999</v>
      </c>
      <c r="N32" s="1">
        <v>25.077551</v>
      </c>
      <c r="O32" s="1">
        <v>21.930667</v>
      </c>
      <c r="P32" s="1">
        <v>20.526440000000001</v>
      </c>
      <c r="Q32">
        <v>28.842666999999999</v>
      </c>
      <c r="R32">
        <v>26.965333000000001</v>
      </c>
      <c r="S32">
        <v>22.271999999999998</v>
      </c>
      <c r="T32">
        <v>16.64</v>
      </c>
      <c r="U32">
        <v>17.920000000000002</v>
      </c>
      <c r="V32">
        <v>23.637333000000002</v>
      </c>
      <c r="W32">
        <v>20.906666999999999</v>
      </c>
      <c r="X32">
        <v>24.746666999999999</v>
      </c>
      <c r="Y32">
        <v>27.221333000000001</v>
      </c>
      <c r="Z32">
        <v>24.984670999999999</v>
      </c>
      <c r="AA32">
        <v>23.552</v>
      </c>
      <c r="AB32">
        <v>20.48</v>
      </c>
      <c r="AC32">
        <v>15.36</v>
      </c>
      <c r="AD32">
        <v>25.449069999999999</v>
      </c>
      <c r="AE32">
        <v>18.346667</v>
      </c>
      <c r="AF32">
        <v>32.256</v>
      </c>
      <c r="AG32">
        <v>22.442667</v>
      </c>
      <c r="AH32">
        <v>19.456</v>
      </c>
      <c r="AI32">
        <v>26.709333000000001</v>
      </c>
      <c r="CW32" s="1"/>
      <c r="CZ32">
        <f t="shared" si="1"/>
        <v>40.874667000000002</v>
      </c>
      <c r="DA32" s="9" t="s">
        <v>86</v>
      </c>
    </row>
    <row r="33" spans="104:105" x14ac:dyDescent="0.25">
      <c r="DA33" s="9" t="s">
        <v>95</v>
      </c>
    </row>
    <row r="34" spans="104:105" x14ac:dyDescent="0.25">
      <c r="CZ34" s="9">
        <f>MAX(CZ24:CZ33)</f>
        <v>93.44</v>
      </c>
    </row>
  </sheetData>
  <mergeCells count="3">
    <mergeCell ref="A2:I2"/>
    <mergeCell ref="A1:O1"/>
    <mergeCell ref="A23:O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2C6F-06A9-48A6-9184-4293657D32D0}">
  <dimension ref="A1:DA36"/>
  <sheetViews>
    <sheetView topLeftCell="CP18" workbookViewId="0">
      <selection activeCell="DA34" sqref="DA34"/>
    </sheetView>
  </sheetViews>
  <sheetFormatPr defaultRowHeight="15" x14ac:dyDescent="0.25"/>
  <cols>
    <col min="1" max="1" width="28.42578125" customWidth="1"/>
    <col min="104" max="104" width="19.140625" customWidth="1"/>
    <col min="105" max="105" width="20.7109375" customWidth="1"/>
  </cols>
  <sheetData>
    <row r="1" spans="1:105" ht="26.25" x14ac:dyDescent="0.4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05" ht="24" x14ac:dyDescent="0.4">
      <c r="A2" s="21" t="s">
        <v>66</v>
      </c>
      <c r="B2" s="21"/>
      <c r="C2" s="21"/>
      <c r="D2" s="21"/>
      <c r="E2" s="21"/>
      <c r="F2" s="21"/>
      <c r="G2" s="21"/>
      <c r="H2" s="21"/>
      <c r="I2" s="21"/>
    </row>
    <row r="3" spans="1:105" x14ac:dyDescent="0.25">
      <c r="CZ3" s="9" t="s">
        <v>83</v>
      </c>
      <c r="DA3" s="9" t="s">
        <v>85</v>
      </c>
    </row>
    <row r="4" spans="1:105" x14ac:dyDescent="0.25">
      <c r="A4" s="1" t="s">
        <v>6</v>
      </c>
      <c r="B4" s="1">
        <v>2.2291159999999999</v>
      </c>
      <c r="C4" s="1">
        <v>2.2291159999999999</v>
      </c>
      <c r="D4" s="1">
        <v>2.3219949999999998</v>
      </c>
      <c r="E4" s="1">
        <v>1.8773329999999999</v>
      </c>
      <c r="F4" s="1">
        <v>1.4506669999999999</v>
      </c>
      <c r="G4" s="1">
        <v>1.6213329999999999</v>
      </c>
      <c r="H4" s="1">
        <v>1.8773329999999999</v>
      </c>
      <c r="I4" s="1">
        <v>0.93866700000000003</v>
      </c>
      <c r="J4" s="1">
        <v>1.6213329999999999</v>
      </c>
      <c r="K4" s="1">
        <v>1.4506669999999999</v>
      </c>
      <c r="L4" s="1">
        <v>1.28</v>
      </c>
      <c r="M4" s="1"/>
      <c r="CZ4">
        <f>MIN(B4:CX4)</f>
        <v>0.93866700000000003</v>
      </c>
      <c r="DA4" s="9" t="s">
        <v>64</v>
      </c>
    </row>
    <row r="5" spans="1:105" x14ac:dyDescent="0.25">
      <c r="A5" s="1" t="s">
        <v>6</v>
      </c>
      <c r="B5" s="1">
        <v>1.536</v>
      </c>
      <c r="C5" s="1">
        <v>3.9253330000000002</v>
      </c>
      <c r="D5" s="1">
        <v>4.3653510000000004</v>
      </c>
      <c r="E5" s="1">
        <v>4.3520000000000003</v>
      </c>
      <c r="F5" s="1">
        <v>3.242667</v>
      </c>
      <c r="G5">
        <v>2.1333329999999999</v>
      </c>
      <c r="H5">
        <v>3.3279999999999998</v>
      </c>
      <c r="I5">
        <v>3.1573329999999999</v>
      </c>
      <c r="J5">
        <v>2.8159999999999998</v>
      </c>
      <c r="K5">
        <v>2.9013330000000002</v>
      </c>
      <c r="L5">
        <v>2.1333329999999999</v>
      </c>
      <c r="M5">
        <v>1.9626669999999999</v>
      </c>
      <c r="N5">
        <v>4.0106669999999998</v>
      </c>
      <c r="O5">
        <v>2.6453329999999999</v>
      </c>
      <c r="P5">
        <v>2.4746670000000002</v>
      </c>
      <c r="Q5">
        <v>3.242667</v>
      </c>
      <c r="R5">
        <v>2.9866670000000002</v>
      </c>
      <c r="S5">
        <v>2.2186669999999999</v>
      </c>
      <c r="T5">
        <v>0.597333</v>
      </c>
      <c r="U5">
        <v>2.1333329999999999</v>
      </c>
      <c r="V5">
        <v>2.3039999999999998</v>
      </c>
      <c r="W5">
        <v>0.51200000000000001</v>
      </c>
      <c r="X5">
        <v>0.76800000000000002</v>
      </c>
      <c r="Y5">
        <v>1.8773329999999999</v>
      </c>
      <c r="Z5">
        <v>1.28</v>
      </c>
      <c r="CZ5">
        <f t="shared" ref="CZ5:CZ11" si="0">MIN(B5:CX5)</f>
        <v>0.51200000000000001</v>
      </c>
      <c r="DA5" s="9" t="s">
        <v>75</v>
      </c>
    </row>
    <row r="6" spans="1:105" x14ac:dyDescent="0.25">
      <c r="A6" s="1" t="s">
        <v>6</v>
      </c>
      <c r="B6" s="1">
        <v>3.754667</v>
      </c>
      <c r="C6" s="1">
        <v>4.0106669999999998</v>
      </c>
      <c r="D6" s="1">
        <v>1.792</v>
      </c>
      <c r="E6" s="1">
        <v>1.8773329999999999</v>
      </c>
      <c r="F6" s="1"/>
      <c r="L6" s="1"/>
      <c r="CZ6">
        <f t="shared" si="0"/>
        <v>1.792</v>
      </c>
      <c r="DA6" s="9" t="s">
        <v>76</v>
      </c>
    </row>
    <row r="7" spans="1:105" x14ac:dyDescent="0.25">
      <c r="A7" s="1" t="s">
        <v>6</v>
      </c>
      <c r="B7" s="1">
        <v>2.9013330000000002</v>
      </c>
      <c r="C7" s="1">
        <v>2.730667</v>
      </c>
      <c r="D7" s="1">
        <v>2.3893330000000002</v>
      </c>
      <c r="E7" s="1">
        <v>2.56</v>
      </c>
      <c r="F7" s="1">
        <v>4.3520000000000003</v>
      </c>
      <c r="G7">
        <v>1.792</v>
      </c>
      <c r="H7">
        <v>1.792</v>
      </c>
      <c r="I7">
        <v>1.4506669999999999</v>
      </c>
      <c r="J7">
        <v>2.2186669999999999</v>
      </c>
      <c r="K7">
        <v>1.6213329999999999</v>
      </c>
      <c r="L7">
        <v>2.8159999999999998</v>
      </c>
      <c r="M7">
        <v>1.6213329999999999</v>
      </c>
      <c r="N7">
        <v>1.7066669999999999</v>
      </c>
      <c r="O7">
        <v>1.4506669999999999</v>
      </c>
      <c r="P7">
        <v>3.4133330000000002</v>
      </c>
      <c r="Q7">
        <v>2.4746670000000002</v>
      </c>
      <c r="R7">
        <v>3.4133330000000002</v>
      </c>
      <c r="S7">
        <v>1.9626669999999999</v>
      </c>
      <c r="T7">
        <v>1.7647170000000001</v>
      </c>
      <c r="U7">
        <v>1.4506669999999999</v>
      </c>
      <c r="V7">
        <v>2.8159999999999998</v>
      </c>
      <c r="W7">
        <v>2.4746670000000002</v>
      </c>
      <c r="X7">
        <v>1.792</v>
      </c>
      <c r="Y7">
        <v>1.4506669999999999</v>
      </c>
      <c r="Z7">
        <v>2.9013330000000002</v>
      </c>
      <c r="AA7">
        <v>1.4506669999999999</v>
      </c>
      <c r="AB7">
        <v>1.4506669999999999</v>
      </c>
      <c r="AC7">
        <v>2.2291159999999999</v>
      </c>
      <c r="AD7">
        <v>3.0720000000000001</v>
      </c>
      <c r="AE7">
        <v>2.0433560000000002</v>
      </c>
      <c r="AF7">
        <v>1.024</v>
      </c>
      <c r="AG7">
        <v>2.730667</v>
      </c>
      <c r="AH7">
        <v>1.7066669999999999</v>
      </c>
      <c r="AI7">
        <v>2.6453329999999999</v>
      </c>
      <c r="AM7" s="1"/>
      <c r="CZ7">
        <f t="shared" si="0"/>
        <v>1.024</v>
      </c>
      <c r="DA7" s="9" t="s">
        <v>77</v>
      </c>
    </row>
    <row r="8" spans="1:105" x14ac:dyDescent="0.25">
      <c r="A8" s="1" t="s">
        <v>6</v>
      </c>
      <c r="B8" s="1">
        <v>1.7066669999999999</v>
      </c>
      <c r="C8" s="1">
        <v>1.9626669999999999</v>
      </c>
      <c r="D8" s="1">
        <v>1.8773329999999999</v>
      </c>
      <c r="E8" s="1">
        <v>1.28</v>
      </c>
      <c r="F8" s="1">
        <v>1.3653329999999999</v>
      </c>
      <c r="G8">
        <v>1.024</v>
      </c>
      <c r="H8">
        <v>2.3219949999999998</v>
      </c>
      <c r="I8">
        <v>1.28</v>
      </c>
      <c r="J8">
        <v>1.7066669999999999</v>
      </c>
      <c r="K8">
        <v>1.28</v>
      </c>
      <c r="L8">
        <v>0.597333</v>
      </c>
      <c r="M8">
        <v>1.28</v>
      </c>
      <c r="N8">
        <v>2.048</v>
      </c>
      <c r="O8">
        <v>0.93866700000000003</v>
      </c>
      <c r="P8">
        <v>3.242667</v>
      </c>
      <c r="Q8">
        <v>1.4506669999999999</v>
      </c>
      <c r="R8">
        <v>1.6213329999999999</v>
      </c>
      <c r="S8">
        <v>1.9626669999999999</v>
      </c>
      <c r="T8">
        <v>1.1946669999999999</v>
      </c>
      <c r="U8">
        <v>2.048</v>
      </c>
      <c r="V8">
        <v>1.792</v>
      </c>
      <c r="W8">
        <v>1.1946669999999999</v>
      </c>
      <c r="X8">
        <v>1.3653329999999999</v>
      </c>
      <c r="Y8">
        <v>1.8773329999999999</v>
      </c>
      <c r="Z8">
        <v>2.048</v>
      </c>
      <c r="AA8">
        <v>0.76800000000000002</v>
      </c>
      <c r="AB8">
        <v>2.2186669999999999</v>
      </c>
      <c r="AC8">
        <v>2.048</v>
      </c>
      <c r="AD8">
        <v>2.2186669999999999</v>
      </c>
      <c r="AE8">
        <v>1.3653329999999999</v>
      </c>
      <c r="AF8">
        <v>1.7066669999999999</v>
      </c>
      <c r="AG8">
        <v>1.28</v>
      </c>
      <c r="AH8">
        <v>1.9626669999999999</v>
      </c>
      <c r="AI8">
        <v>1.28</v>
      </c>
      <c r="AJ8">
        <v>2.2186669999999999</v>
      </c>
      <c r="AK8">
        <v>1.4506669999999999</v>
      </c>
      <c r="AL8">
        <v>2.1362359999999998</v>
      </c>
      <c r="AM8">
        <v>2.9866670000000002</v>
      </c>
      <c r="AN8">
        <v>1.1145579999999999</v>
      </c>
      <c r="AO8" s="1"/>
      <c r="CZ8">
        <f t="shared" si="0"/>
        <v>0.597333</v>
      </c>
      <c r="DA8" s="9" t="s">
        <v>78</v>
      </c>
    </row>
    <row r="9" spans="1:105" x14ac:dyDescent="0.25">
      <c r="A9" s="1" t="s">
        <v>6</v>
      </c>
      <c r="B9">
        <v>1.9626669999999999</v>
      </c>
      <c r="C9">
        <v>1.3653329999999999</v>
      </c>
      <c r="D9">
        <v>1.9626669999999999</v>
      </c>
      <c r="J9" s="1"/>
      <c r="CZ9">
        <f t="shared" si="0"/>
        <v>1.3653329999999999</v>
      </c>
      <c r="DA9" s="9" t="s">
        <v>79</v>
      </c>
    </row>
    <row r="10" spans="1:105" x14ac:dyDescent="0.25">
      <c r="A10" s="1" t="s">
        <v>6</v>
      </c>
      <c r="B10">
        <v>2.8159999999999998</v>
      </c>
      <c r="C10">
        <v>3.84</v>
      </c>
      <c r="D10">
        <v>2.5309750000000002</v>
      </c>
      <c r="E10">
        <v>2.3039999999999998</v>
      </c>
      <c r="F10">
        <v>2.8159999999999998</v>
      </c>
      <c r="G10">
        <v>3.84</v>
      </c>
      <c r="H10">
        <v>2.2186669999999999</v>
      </c>
      <c r="I10">
        <v>5.2053330000000004</v>
      </c>
      <c r="J10">
        <v>2.9013330000000002</v>
      </c>
      <c r="K10">
        <v>2.048</v>
      </c>
      <c r="L10">
        <v>2.1362359999999998</v>
      </c>
      <c r="M10">
        <v>1.8773329999999999</v>
      </c>
      <c r="N10">
        <v>2.2186669999999999</v>
      </c>
      <c r="O10">
        <v>2.1333329999999999</v>
      </c>
      <c r="P10">
        <v>2.3893330000000002</v>
      </c>
      <c r="Q10">
        <v>2.3893330000000002</v>
      </c>
      <c r="R10">
        <v>2.8159999999999998</v>
      </c>
      <c r="S10">
        <v>3.3279999999999998</v>
      </c>
      <c r="T10">
        <v>4.6079999999999997</v>
      </c>
      <c r="U10">
        <v>2.730667</v>
      </c>
      <c r="V10">
        <v>2.730667</v>
      </c>
      <c r="W10">
        <v>4.0106669999999998</v>
      </c>
      <c r="X10">
        <v>2.2186669999999999</v>
      </c>
      <c r="Y10">
        <v>2.0433560000000002</v>
      </c>
      <c r="Z10">
        <v>2.4746670000000002</v>
      </c>
      <c r="AA10">
        <v>2.048</v>
      </c>
      <c r="AB10">
        <v>3.242667</v>
      </c>
      <c r="AC10">
        <v>3.1573329999999999</v>
      </c>
      <c r="AD10">
        <v>3.4133330000000002</v>
      </c>
      <c r="AE10">
        <v>2.56</v>
      </c>
      <c r="AF10">
        <v>2.56</v>
      </c>
      <c r="AG10">
        <v>3.1573329999999999</v>
      </c>
      <c r="AH10">
        <v>2.9721540000000002</v>
      </c>
      <c r="AI10">
        <v>2.600635</v>
      </c>
      <c r="AJ10">
        <v>1.9504760000000001</v>
      </c>
      <c r="AK10">
        <v>2.9013330000000002</v>
      </c>
      <c r="AL10">
        <v>1.9626669999999999</v>
      </c>
      <c r="AM10">
        <v>4.266667</v>
      </c>
      <c r="AN10">
        <v>2.282667</v>
      </c>
      <c r="AO10">
        <v>2.1333329999999999</v>
      </c>
      <c r="AP10">
        <v>1.7066669999999999</v>
      </c>
      <c r="AQ10">
        <v>1.8773329999999999</v>
      </c>
      <c r="AR10">
        <v>1.6213329999999999</v>
      </c>
      <c r="AS10">
        <v>2.8159999999999998</v>
      </c>
      <c r="AT10">
        <v>0.37151899999999999</v>
      </c>
      <c r="AU10">
        <v>1.4506669999999999</v>
      </c>
      <c r="AV10">
        <v>1.792</v>
      </c>
      <c r="AW10">
        <v>1.024</v>
      </c>
      <c r="AX10">
        <v>1.8773329999999999</v>
      </c>
      <c r="AY10">
        <v>1.6213329999999999</v>
      </c>
      <c r="AZ10">
        <v>1.9626669999999999</v>
      </c>
      <c r="BA10">
        <v>2.6453329999999999</v>
      </c>
      <c r="BB10">
        <v>2.1333329999999999</v>
      </c>
      <c r="BC10">
        <v>2.1333329999999999</v>
      </c>
      <c r="BD10">
        <v>3.0720000000000001</v>
      </c>
      <c r="BE10">
        <v>1.536</v>
      </c>
      <c r="BF10">
        <v>2.048</v>
      </c>
      <c r="BG10">
        <v>1.1946669999999999</v>
      </c>
      <c r="BH10">
        <v>1.792</v>
      </c>
      <c r="BI10">
        <v>2.3039999999999998</v>
      </c>
      <c r="BJ10">
        <v>0.85333300000000001</v>
      </c>
      <c r="BN10" s="1"/>
      <c r="CZ10">
        <f t="shared" si="0"/>
        <v>0.37151899999999999</v>
      </c>
      <c r="DA10" s="9" t="s">
        <v>81</v>
      </c>
    </row>
    <row r="11" spans="1:105" x14ac:dyDescent="0.25">
      <c r="A11" s="1" t="s">
        <v>6</v>
      </c>
      <c r="B11">
        <v>2.9013330000000002</v>
      </c>
      <c r="C11">
        <v>1.3653329999999999</v>
      </c>
      <c r="CZ11">
        <f t="shared" si="0"/>
        <v>1.3653329999999999</v>
      </c>
      <c r="DA11" s="9" t="s">
        <v>80</v>
      </c>
    </row>
    <row r="12" spans="1:105" x14ac:dyDescent="0.25">
      <c r="A12" s="1" t="s">
        <v>6</v>
      </c>
      <c r="B12">
        <v>3.242667</v>
      </c>
      <c r="C12">
        <v>1.7066669999999999</v>
      </c>
      <c r="D12">
        <v>2.048</v>
      </c>
      <c r="E12">
        <v>2.730667</v>
      </c>
      <c r="F12">
        <v>1.9626669999999999</v>
      </c>
      <c r="G12">
        <v>1.792</v>
      </c>
      <c r="H12">
        <v>2.56</v>
      </c>
      <c r="I12">
        <v>2.3039999999999998</v>
      </c>
      <c r="J12">
        <v>1.6213329999999999</v>
      </c>
      <c r="K12">
        <v>3.5840000000000001</v>
      </c>
      <c r="L12">
        <v>1.7066669999999999</v>
      </c>
      <c r="M12">
        <v>1.9626669999999999</v>
      </c>
      <c r="N12">
        <v>2.048</v>
      </c>
      <c r="O12">
        <v>1.9626669999999999</v>
      </c>
      <c r="P12">
        <v>1.28</v>
      </c>
      <c r="Q12">
        <v>2.730667</v>
      </c>
      <c r="R12">
        <v>1.7066669999999999</v>
      </c>
      <c r="S12">
        <v>0.68266700000000002</v>
      </c>
      <c r="T12">
        <v>3.4986670000000002</v>
      </c>
      <c r="U12">
        <v>2.56</v>
      </c>
      <c r="V12">
        <v>2.0433560000000002</v>
      </c>
      <c r="W12">
        <v>1.5789569999999999</v>
      </c>
      <c r="X12">
        <v>2.048</v>
      </c>
      <c r="Y12">
        <v>2.1362359999999998</v>
      </c>
      <c r="Z12">
        <v>2.048</v>
      </c>
      <c r="AA12">
        <v>1.7647170000000001</v>
      </c>
      <c r="AB12">
        <v>2.048</v>
      </c>
      <c r="AC12">
        <v>1.536</v>
      </c>
      <c r="AD12">
        <v>2.1333329999999999</v>
      </c>
      <c r="AE12">
        <v>1.9626669999999999</v>
      </c>
      <c r="AF12">
        <v>2.730667</v>
      </c>
      <c r="BN12" s="1"/>
      <c r="CZ12">
        <f>MIN(B12:CX12)</f>
        <v>0.68266700000000002</v>
      </c>
      <c r="DA12" s="9" t="s">
        <v>86</v>
      </c>
    </row>
    <row r="13" spans="1:105" x14ac:dyDescent="0.25">
      <c r="DA13" s="9" t="s">
        <v>95</v>
      </c>
    </row>
    <row r="14" spans="1:105" x14ac:dyDescent="0.25">
      <c r="CZ14" s="9">
        <f>MIN(CZ4:CZ13)</f>
        <v>0.37151899999999999</v>
      </c>
    </row>
    <row r="15" spans="1:10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>
        <f t="shared" ref="CZ15:CZ35" si="1">MIN(B15:CX15)</f>
        <v>0</v>
      </c>
      <c r="DA15" s="12"/>
    </row>
    <row r="16" spans="1:105" x14ac:dyDescent="0.25">
      <c r="CZ16">
        <f t="shared" si="1"/>
        <v>0</v>
      </c>
    </row>
    <row r="17" spans="1:105" x14ac:dyDescent="0.25">
      <c r="CZ17">
        <f t="shared" si="1"/>
        <v>0</v>
      </c>
    </row>
    <row r="18" spans="1:105" x14ac:dyDescent="0.25">
      <c r="CZ18">
        <f t="shared" si="1"/>
        <v>0</v>
      </c>
    </row>
    <row r="19" spans="1:105" x14ac:dyDescent="0.25">
      <c r="CZ19">
        <f t="shared" si="1"/>
        <v>0</v>
      </c>
    </row>
    <row r="20" spans="1:105" x14ac:dyDescent="0.25">
      <c r="CZ20">
        <f t="shared" si="1"/>
        <v>0</v>
      </c>
    </row>
    <row r="21" spans="1:105" x14ac:dyDescent="0.25">
      <c r="CZ21">
        <f t="shared" si="1"/>
        <v>0</v>
      </c>
    </row>
    <row r="22" spans="1:105" x14ac:dyDescent="0.25">
      <c r="A22" t="s">
        <v>72</v>
      </c>
      <c r="CZ22">
        <f t="shared" si="1"/>
        <v>0</v>
      </c>
    </row>
    <row r="23" spans="1:105" x14ac:dyDescent="0.25">
      <c r="CZ23">
        <f t="shared" si="1"/>
        <v>0</v>
      </c>
    </row>
    <row r="24" spans="1:105" x14ac:dyDescent="0.25">
      <c r="CZ24">
        <f t="shared" si="1"/>
        <v>0</v>
      </c>
    </row>
    <row r="25" spans="1:105" ht="26.25" x14ac:dyDescent="0.4">
      <c r="A25" s="22" t="s">
        <v>70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CZ25">
        <f t="shared" si="1"/>
        <v>0</v>
      </c>
    </row>
    <row r="26" spans="1:105" x14ac:dyDescent="0.25">
      <c r="A26" s="1" t="s">
        <v>6</v>
      </c>
      <c r="B26" s="1">
        <v>2.2291159999999999</v>
      </c>
      <c r="C26" s="1">
        <v>2.8159999999999998</v>
      </c>
      <c r="D26" s="1">
        <v>3.1573329999999999</v>
      </c>
      <c r="E26" s="1">
        <v>3.1573329999999999</v>
      </c>
      <c r="F26" s="1">
        <v>2.048</v>
      </c>
      <c r="G26" s="1">
        <v>2.9866670000000002</v>
      </c>
      <c r="H26" s="1">
        <v>3.9253330000000002</v>
      </c>
      <c r="I26" s="1">
        <v>2.9866670000000002</v>
      </c>
      <c r="J26" s="1">
        <v>3.84</v>
      </c>
      <c r="K26" s="1">
        <v>3.436553</v>
      </c>
      <c r="L26" s="1">
        <v>1.792</v>
      </c>
      <c r="M26" s="1"/>
      <c r="CZ26">
        <f t="shared" si="1"/>
        <v>1.792</v>
      </c>
      <c r="DA26" s="9" t="s">
        <v>64</v>
      </c>
    </row>
    <row r="27" spans="1:105" x14ac:dyDescent="0.25">
      <c r="A27" s="1" t="s">
        <v>6</v>
      </c>
      <c r="B27" s="1">
        <v>5.5727890000000002</v>
      </c>
      <c r="C27" s="1">
        <v>1.792</v>
      </c>
      <c r="D27" s="1">
        <v>2.0433560000000002</v>
      </c>
      <c r="E27" s="1">
        <v>2.56</v>
      </c>
      <c r="F27" s="1">
        <v>3.1573329999999999</v>
      </c>
      <c r="G27" s="1">
        <v>1.792</v>
      </c>
      <c r="H27" s="1">
        <v>2.048</v>
      </c>
      <c r="I27" s="1">
        <v>2.1333329999999999</v>
      </c>
      <c r="J27" s="1">
        <v>2.3893330000000002</v>
      </c>
      <c r="K27" s="1">
        <v>3.1579139999999999</v>
      </c>
      <c r="L27" s="1">
        <v>2.9866670000000002</v>
      </c>
      <c r="M27" s="1">
        <v>2.6453329999999999</v>
      </c>
      <c r="N27" s="1">
        <v>2.3039999999999998</v>
      </c>
      <c r="O27" s="1">
        <v>1.4506669999999999</v>
      </c>
      <c r="P27" s="1">
        <v>2.9013330000000002</v>
      </c>
      <c r="Q27" s="1">
        <v>2.2186669999999999</v>
      </c>
      <c r="R27" s="1">
        <v>2.56</v>
      </c>
      <c r="S27" s="1">
        <v>3.3279999999999998</v>
      </c>
      <c r="T27" s="1">
        <v>3.84</v>
      </c>
      <c r="U27" s="1">
        <v>2.6453329999999999</v>
      </c>
      <c r="V27" s="1"/>
      <c r="CZ27">
        <f t="shared" si="1"/>
        <v>1.4506669999999999</v>
      </c>
      <c r="DA27" s="9" t="s">
        <v>75</v>
      </c>
    </row>
    <row r="28" spans="1:105" x14ac:dyDescent="0.25">
      <c r="A28" s="1" t="s">
        <v>6</v>
      </c>
      <c r="B28" s="1">
        <v>3.4133330000000002</v>
      </c>
      <c r="CZ28">
        <f t="shared" si="1"/>
        <v>3.4133330000000002</v>
      </c>
      <c r="DA28" s="9" t="s">
        <v>76</v>
      </c>
    </row>
    <row r="29" spans="1:105" x14ac:dyDescent="0.25">
      <c r="A29" s="1" t="s">
        <v>6</v>
      </c>
      <c r="B29" s="1">
        <v>1.4506669999999999</v>
      </c>
      <c r="C29" s="1">
        <v>2.3039999999999998</v>
      </c>
      <c r="D29" s="1">
        <v>3.1573329999999999</v>
      </c>
      <c r="E29" s="1">
        <v>1.792</v>
      </c>
      <c r="F29" s="1">
        <v>2.2186669999999999</v>
      </c>
      <c r="G29" s="1">
        <v>2.8159999999999998</v>
      </c>
      <c r="H29" s="1">
        <v>3.3279999999999998</v>
      </c>
      <c r="I29" s="1">
        <v>1.536</v>
      </c>
      <c r="J29" s="1">
        <v>2.8159999999999998</v>
      </c>
      <c r="K29" s="1">
        <v>1.3653329999999999</v>
      </c>
      <c r="L29" s="1">
        <v>2.2186669999999999</v>
      </c>
      <c r="M29" s="1">
        <v>1.7066669999999999</v>
      </c>
      <c r="N29" s="1">
        <v>2.3039999999999998</v>
      </c>
      <c r="O29" s="1">
        <v>1.3653329999999999</v>
      </c>
      <c r="P29" s="1">
        <v>3.242667</v>
      </c>
      <c r="Q29">
        <v>3.754667</v>
      </c>
      <c r="R29">
        <v>1.9626669999999999</v>
      </c>
      <c r="S29">
        <v>9.0570109999999993</v>
      </c>
      <c r="T29">
        <v>1.536</v>
      </c>
      <c r="U29">
        <v>2.9866670000000002</v>
      </c>
      <c r="V29">
        <v>1.024</v>
      </c>
      <c r="W29">
        <v>1.024</v>
      </c>
      <c r="X29">
        <v>1.6213329999999999</v>
      </c>
      <c r="Y29">
        <v>1.28</v>
      </c>
      <c r="Z29">
        <v>1.857596</v>
      </c>
      <c r="AA29">
        <v>2.2186669999999999</v>
      </c>
      <c r="AB29">
        <v>1.1946669999999999</v>
      </c>
      <c r="AC29">
        <v>1.6213329999999999</v>
      </c>
      <c r="AD29">
        <v>1.8773329999999999</v>
      </c>
      <c r="AE29">
        <v>2.3893330000000002</v>
      </c>
      <c r="AF29">
        <v>2.730667</v>
      </c>
      <c r="AG29">
        <v>1.1093329999999999</v>
      </c>
      <c r="AH29">
        <v>2.3039999999999998</v>
      </c>
      <c r="AI29">
        <v>1.536</v>
      </c>
      <c r="AJ29">
        <v>3.9253330000000002</v>
      </c>
      <c r="AK29">
        <v>1.1946669999999999</v>
      </c>
      <c r="AL29">
        <v>1.9626669999999999</v>
      </c>
      <c r="AM29">
        <v>3.1579139999999999</v>
      </c>
      <c r="AN29">
        <v>2.1333329999999999</v>
      </c>
      <c r="AO29">
        <v>2.048</v>
      </c>
      <c r="AP29">
        <v>1.28</v>
      </c>
      <c r="AQ29">
        <v>1.3653329999999999</v>
      </c>
      <c r="AR29">
        <v>3.0650339999999998</v>
      </c>
      <c r="AS29">
        <v>3.754667</v>
      </c>
      <c r="AT29">
        <v>1.7066669999999999</v>
      </c>
      <c r="AU29">
        <v>1.4506669999999999</v>
      </c>
      <c r="AV29">
        <v>3.6223130000000001</v>
      </c>
      <c r="AW29">
        <v>3.3279999999999998</v>
      </c>
      <c r="AX29">
        <v>3.4986670000000002</v>
      </c>
      <c r="AY29">
        <v>4.266667</v>
      </c>
      <c r="CZ29">
        <f t="shared" si="1"/>
        <v>1.024</v>
      </c>
      <c r="DA29" s="9" t="s">
        <v>77</v>
      </c>
    </row>
    <row r="30" spans="1:105" x14ac:dyDescent="0.25">
      <c r="A30" s="1" t="s">
        <v>6</v>
      </c>
      <c r="B30" s="1">
        <v>2.048</v>
      </c>
      <c r="C30" s="1">
        <v>1.8773329999999999</v>
      </c>
      <c r="D30" s="1">
        <v>2.730667</v>
      </c>
      <c r="E30" s="1">
        <v>2.56</v>
      </c>
      <c r="F30" s="1">
        <v>1.4506669999999999</v>
      </c>
      <c r="G30" s="1">
        <v>2.6453329999999999</v>
      </c>
      <c r="H30" s="1">
        <v>2.4746670000000002</v>
      </c>
      <c r="I30" s="1">
        <v>2.3893330000000002</v>
      </c>
      <c r="J30" s="1">
        <v>2.048</v>
      </c>
      <c r="K30" s="1">
        <v>1.7066669999999999</v>
      </c>
      <c r="L30" s="1">
        <v>3.242667</v>
      </c>
      <c r="M30" s="1">
        <v>2.6935150000000001</v>
      </c>
      <c r="N30" s="1">
        <v>2.56</v>
      </c>
      <c r="O30" s="1">
        <v>1.792</v>
      </c>
      <c r="P30" s="1">
        <v>3.0720000000000001</v>
      </c>
      <c r="Q30">
        <v>2.56</v>
      </c>
      <c r="R30">
        <v>1.6213329999999999</v>
      </c>
      <c r="S30">
        <v>2.1333329999999999</v>
      </c>
      <c r="T30">
        <v>1.3653329999999999</v>
      </c>
      <c r="U30">
        <v>2.3893330000000002</v>
      </c>
      <c r="V30">
        <v>1.8773329999999999</v>
      </c>
      <c r="W30">
        <v>4.693333</v>
      </c>
      <c r="X30">
        <v>3.669333</v>
      </c>
      <c r="Y30">
        <v>4.7786670000000004</v>
      </c>
      <c r="Z30">
        <v>2.9013330000000002</v>
      </c>
      <c r="AA30">
        <v>2.7863950000000002</v>
      </c>
      <c r="AB30">
        <v>2.730667</v>
      </c>
      <c r="AC30">
        <v>2.6453329999999999</v>
      </c>
      <c r="AD30">
        <v>2.56</v>
      </c>
      <c r="AE30">
        <v>3.1573329999999999</v>
      </c>
      <c r="AF30">
        <v>1.792</v>
      </c>
      <c r="AG30">
        <v>2.3893330000000002</v>
      </c>
      <c r="AH30">
        <v>3.0720000000000001</v>
      </c>
      <c r="AI30">
        <v>2.2186669999999999</v>
      </c>
      <c r="AJ30">
        <v>2.2186669999999999</v>
      </c>
      <c r="AK30">
        <v>2.730667</v>
      </c>
      <c r="AL30">
        <v>1.792</v>
      </c>
      <c r="AM30">
        <v>1.536</v>
      </c>
      <c r="AN30">
        <v>4.5226670000000002</v>
      </c>
      <c r="AO30">
        <v>2.1362359999999998</v>
      </c>
      <c r="AP30">
        <v>2.9866670000000002</v>
      </c>
      <c r="AQ30">
        <v>2.1333329999999999</v>
      </c>
      <c r="AR30">
        <v>1.9626669999999999</v>
      </c>
      <c r="AS30">
        <v>1.28</v>
      </c>
      <c r="AT30">
        <v>1.536</v>
      </c>
      <c r="AU30">
        <v>2.048</v>
      </c>
      <c r="AV30">
        <v>3.242667</v>
      </c>
      <c r="AW30">
        <v>3.0720000000000001</v>
      </c>
      <c r="AX30">
        <v>2.3039999999999998</v>
      </c>
      <c r="AY30">
        <v>2.730667</v>
      </c>
      <c r="AZ30">
        <v>3.4986670000000002</v>
      </c>
      <c r="BA30">
        <v>2.3893330000000002</v>
      </c>
      <c r="BB30">
        <v>3.754667</v>
      </c>
      <c r="BC30">
        <v>3.0720000000000001</v>
      </c>
      <c r="BD30">
        <v>2.1333329999999999</v>
      </c>
      <c r="BE30">
        <v>4.0106669999999998</v>
      </c>
      <c r="BF30">
        <v>1.9626669999999999</v>
      </c>
      <c r="BI30" s="1"/>
      <c r="BJ30" s="1"/>
      <c r="CZ30">
        <f t="shared" si="1"/>
        <v>1.28</v>
      </c>
      <c r="DA30" s="9" t="s">
        <v>78</v>
      </c>
    </row>
    <row r="31" spans="1:105" x14ac:dyDescent="0.25">
      <c r="A31" s="1" t="s">
        <v>6</v>
      </c>
      <c r="B31" s="1">
        <v>1.792</v>
      </c>
      <c r="C31" s="1">
        <v>1.7066669999999999</v>
      </c>
      <c r="D31" s="1">
        <v>2.6453329999999999</v>
      </c>
      <c r="E31" s="1">
        <v>2.3893330000000002</v>
      </c>
      <c r="F31" s="1">
        <v>1.9626669999999999</v>
      </c>
      <c r="G31" s="1">
        <v>1.6213329999999999</v>
      </c>
      <c r="H31" s="1">
        <v>2.2186669999999999</v>
      </c>
      <c r="I31" s="1">
        <v>2.3893330000000002</v>
      </c>
      <c r="J31" s="1">
        <v>3.3279999999999998</v>
      </c>
      <c r="K31" s="1">
        <v>2.56</v>
      </c>
      <c r="L31" s="1">
        <v>1.792</v>
      </c>
      <c r="M31" s="1">
        <v>2.2186669999999999</v>
      </c>
      <c r="N31" s="1">
        <v>2.3893330000000002</v>
      </c>
      <c r="O31" s="1">
        <v>1.28</v>
      </c>
      <c r="P31" s="1">
        <v>3.242667</v>
      </c>
      <c r="Q31">
        <v>3.84</v>
      </c>
      <c r="R31">
        <v>2.2186669999999999</v>
      </c>
      <c r="S31">
        <v>2.6453329999999999</v>
      </c>
      <c r="T31">
        <v>1.9626669999999999</v>
      </c>
      <c r="U31">
        <v>3.250794</v>
      </c>
      <c r="V31">
        <v>1.9626669999999999</v>
      </c>
      <c r="W31">
        <v>2.4746670000000002</v>
      </c>
      <c r="X31">
        <v>2.1333329999999999</v>
      </c>
      <c r="Y31">
        <v>2.2186669999999999</v>
      </c>
      <c r="Z31">
        <v>3.3279999999999998</v>
      </c>
      <c r="AA31">
        <v>2.8159999999999998</v>
      </c>
      <c r="AB31">
        <v>3.242667</v>
      </c>
      <c r="AC31">
        <v>2.3893330000000002</v>
      </c>
      <c r="AD31">
        <v>1.9626669999999999</v>
      </c>
      <c r="AE31">
        <v>2.1333329999999999</v>
      </c>
      <c r="AF31">
        <v>1.4506669999999999</v>
      </c>
      <c r="AG31">
        <v>3.3279999999999998</v>
      </c>
      <c r="AH31">
        <v>2.56</v>
      </c>
      <c r="AI31">
        <v>2.3893330000000002</v>
      </c>
      <c r="AJ31">
        <v>2.8159999999999998</v>
      </c>
      <c r="AK31">
        <v>3.0720000000000001</v>
      </c>
      <c r="AL31">
        <v>2.3893330000000002</v>
      </c>
      <c r="AM31">
        <v>2.9721540000000002</v>
      </c>
      <c r="AN31">
        <v>2.8159999999999998</v>
      </c>
      <c r="AO31">
        <v>3.4986670000000002</v>
      </c>
      <c r="AP31">
        <v>4.5226670000000002</v>
      </c>
      <c r="AQ31">
        <v>2.8159999999999998</v>
      </c>
      <c r="AR31">
        <v>2.048</v>
      </c>
      <c r="AS31">
        <v>3.242667</v>
      </c>
      <c r="AT31">
        <v>1.536</v>
      </c>
      <c r="AU31">
        <v>1.5789569999999999</v>
      </c>
      <c r="AV31">
        <v>1.9626669999999999</v>
      </c>
      <c r="AW31">
        <v>1.6213329999999999</v>
      </c>
      <c r="AX31">
        <v>2.3039999999999998</v>
      </c>
      <c r="AY31">
        <v>2.56</v>
      </c>
      <c r="AZ31">
        <v>2.9866670000000002</v>
      </c>
      <c r="BA31">
        <v>2.3893330000000002</v>
      </c>
      <c r="BB31">
        <v>3.4133330000000002</v>
      </c>
      <c r="BC31">
        <v>2.3893330000000002</v>
      </c>
      <c r="BD31">
        <v>2.730667</v>
      </c>
      <c r="BE31">
        <v>2.048</v>
      </c>
      <c r="BF31">
        <v>3.242667</v>
      </c>
      <c r="BG31">
        <v>2.1333329999999999</v>
      </c>
      <c r="BH31">
        <v>1.857596</v>
      </c>
      <c r="BI31">
        <v>1.536</v>
      </c>
      <c r="BJ31">
        <v>2.6453329999999999</v>
      </c>
      <c r="BK31">
        <v>2.3893330000000002</v>
      </c>
      <c r="BL31">
        <v>2.9013330000000002</v>
      </c>
      <c r="BM31">
        <v>2.9721540000000002</v>
      </c>
      <c r="BN31">
        <v>3.4986670000000002</v>
      </c>
      <c r="BO31">
        <v>3.242667</v>
      </c>
      <c r="BP31">
        <v>2.56</v>
      </c>
      <c r="BQ31">
        <v>1.9626669999999999</v>
      </c>
      <c r="BR31">
        <v>4.266667</v>
      </c>
      <c r="BS31">
        <v>3.242667</v>
      </c>
      <c r="BT31">
        <v>2.8159999999999998</v>
      </c>
      <c r="BU31">
        <v>3.5840000000000001</v>
      </c>
      <c r="BV31">
        <v>2.9866670000000002</v>
      </c>
      <c r="BW31">
        <v>2.56</v>
      </c>
      <c r="BX31">
        <v>0.37151899999999999</v>
      </c>
      <c r="BY31">
        <v>2.3039999999999998</v>
      </c>
      <c r="BZ31">
        <v>2.1333329999999999</v>
      </c>
      <c r="CA31">
        <v>3.4133330000000002</v>
      </c>
      <c r="CB31">
        <v>2.6453329999999999</v>
      </c>
      <c r="CC31">
        <v>3.242667</v>
      </c>
      <c r="CD31">
        <v>3.669333</v>
      </c>
      <c r="CE31">
        <v>1.9626669999999999</v>
      </c>
      <c r="CF31">
        <v>2.2186669999999999</v>
      </c>
      <c r="CG31">
        <v>1.536</v>
      </c>
      <c r="CH31">
        <v>3.0720000000000001</v>
      </c>
      <c r="CI31">
        <v>2.3893330000000002</v>
      </c>
      <c r="CJ31">
        <v>2.3039999999999998</v>
      </c>
      <c r="CK31">
        <v>2.730667</v>
      </c>
      <c r="CL31">
        <v>3.669333</v>
      </c>
      <c r="CM31">
        <v>2.4746670000000002</v>
      </c>
      <c r="CN31">
        <v>2.1333329999999999</v>
      </c>
      <c r="CO31">
        <v>2.2291159999999999</v>
      </c>
      <c r="CP31">
        <v>2.2186669999999999</v>
      </c>
      <c r="CQ31">
        <v>2.3039999999999998</v>
      </c>
      <c r="CR31">
        <v>1.024</v>
      </c>
      <c r="CS31">
        <v>2.8159999999999998</v>
      </c>
      <c r="CW31" s="1"/>
      <c r="CZ31">
        <f t="shared" si="1"/>
        <v>0.37151899999999999</v>
      </c>
      <c r="DA31" s="9" t="s">
        <v>79</v>
      </c>
    </row>
    <row r="32" spans="1:105" x14ac:dyDescent="0.25">
      <c r="A32" s="1" t="s">
        <v>6</v>
      </c>
      <c r="B32" s="1">
        <v>1.6213329999999999</v>
      </c>
      <c r="C32" s="1">
        <v>3.669333</v>
      </c>
      <c r="D32" s="1">
        <v>3.5840000000000001</v>
      </c>
      <c r="E32" s="1">
        <v>2.9866670000000002</v>
      </c>
      <c r="F32" s="1">
        <v>2.730667</v>
      </c>
      <c r="G32" s="1">
        <v>1.8773329999999999</v>
      </c>
      <c r="H32" s="1">
        <v>2.2186669999999999</v>
      </c>
      <c r="I32" s="1">
        <v>2.048</v>
      </c>
      <c r="J32" s="1">
        <v>2.9013330000000002</v>
      </c>
      <c r="K32" s="1">
        <v>2.4746670000000002</v>
      </c>
      <c r="L32" s="1">
        <v>2.3039999999999998</v>
      </c>
      <c r="M32" s="1">
        <v>1.792</v>
      </c>
      <c r="N32" s="1">
        <v>2.8159999999999998</v>
      </c>
      <c r="O32" s="1">
        <v>2.730667</v>
      </c>
      <c r="P32" s="1">
        <v>4.0106669999999998</v>
      </c>
      <c r="Q32">
        <v>1.792</v>
      </c>
      <c r="R32">
        <v>2.4746670000000002</v>
      </c>
      <c r="S32">
        <v>4.0960000000000001</v>
      </c>
      <c r="T32">
        <v>3.4986670000000002</v>
      </c>
      <c r="U32">
        <v>3.5840000000000001</v>
      </c>
      <c r="V32">
        <v>2.0433560000000002</v>
      </c>
      <c r="W32">
        <v>3.250794</v>
      </c>
      <c r="X32">
        <v>4.0106669999999998</v>
      </c>
      <c r="Y32">
        <v>2.56</v>
      </c>
      <c r="Z32">
        <v>3.3279999999999998</v>
      </c>
      <c r="AA32">
        <v>2.6453329999999999</v>
      </c>
      <c r="AB32">
        <v>3.1573329999999999</v>
      </c>
      <c r="AC32">
        <v>3.1573329999999999</v>
      </c>
      <c r="AD32">
        <v>2.4148749999999999</v>
      </c>
      <c r="AE32">
        <v>2.8159999999999998</v>
      </c>
      <c r="AF32">
        <v>2.3039999999999998</v>
      </c>
      <c r="AG32">
        <v>3.669333</v>
      </c>
      <c r="AH32">
        <v>2.4746670000000002</v>
      </c>
      <c r="AI32">
        <v>3.754667</v>
      </c>
      <c r="AJ32">
        <v>2.5386669999999998</v>
      </c>
      <c r="AK32">
        <v>3.669333</v>
      </c>
      <c r="AL32">
        <v>3.84</v>
      </c>
      <c r="AM32">
        <v>1.728</v>
      </c>
      <c r="AN32">
        <v>2.6453329999999999</v>
      </c>
      <c r="AO32">
        <v>2.8159999999999998</v>
      </c>
      <c r="AP32">
        <v>2.2186669999999999</v>
      </c>
      <c r="AQ32">
        <v>4.1813330000000004</v>
      </c>
      <c r="AR32">
        <v>3.4986670000000002</v>
      </c>
      <c r="AS32">
        <v>2.56</v>
      </c>
      <c r="AT32">
        <v>3.5840000000000001</v>
      </c>
      <c r="AU32">
        <v>2.4746670000000002</v>
      </c>
      <c r="AV32">
        <v>2.2186669999999999</v>
      </c>
      <c r="CW32" s="1"/>
      <c r="CZ32">
        <f t="shared" si="1"/>
        <v>1.6213329999999999</v>
      </c>
      <c r="DA32" s="9" t="s">
        <v>81</v>
      </c>
    </row>
    <row r="33" spans="1:105" x14ac:dyDescent="0.25">
      <c r="A33" s="1" t="s">
        <v>6</v>
      </c>
      <c r="B33" s="1">
        <v>2.9866670000000002</v>
      </c>
      <c r="C33" s="1">
        <v>3.5840000000000001</v>
      </c>
      <c r="D33" s="1">
        <v>2.9866670000000002</v>
      </c>
      <c r="E33" s="1">
        <v>2.8159999999999998</v>
      </c>
      <c r="F33" s="1">
        <v>1.9626669999999999</v>
      </c>
      <c r="G33" s="1">
        <v>2.8159999999999998</v>
      </c>
      <c r="H33" s="1">
        <v>4.693333</v>
      </c>
      <c r="I33" s="1">
        <v>3.0720000000000001</v>
      </c>
      <c r="J33" s="1">
        <v>2.4746670000000002</v>
      </c>
      <c r="K33" s="1">
        <v>2.4746670000000002</v>
      </c>
      <c r="L33" s="1">
        <v>2.6453329999999999</v>
      </c>
      <c r="M33" s="1">
        <v>1.671837</v>
      </c>
      <c r="N33" s="1">
        <v>3.3279999999999998</v>
      </c>
      <c r="O33" s="1">
        <v>1.6213329999999999</v>
      </c>
      <c r="P33" s="1">
        <v>2.1333329999999999</v>
      </c>
      <c r="Q33">
        <v>4.8639999999999999</v>
      </c>
      <c r="R33">
        <v>3.4133330000000002</v>
      </c>
      <c r="S33">
        <v>2.3039999999999998</v>
      </c>
      <c r="T33">
        <v>2.8159999999999998</v>
      </c>
      <c r="U33">
        <v>4.0960000000000001</v>
      </c>
      <c r="V33">
        <v>2.3039999999999998</v>
      </c>
      <c r="W33">
        <v>2.2186669999999999</v>
      </c>
      <c r="X33">
        <v>2.6453329999999999</v>
      </c>
      <c r="Y33">
        <v>3.0720000000000001</v>
      </c>
      <c r="Z33">
        <v>4.0960000000000001</v>
      </c>
      <c r="AA33">
        <v>2.3219949999999998</v>
      </c>
      <c r="AB33">
        <v>3.242667</v>
      </c>
      <c r="AC33">
        <v>2.3219949999999998</v>
      </c>
      <c r="AD33">
        <v>3.754667</v>
      </c>
      <c r="AE33">
        <v>2.1333329999999999</v>
      </c>
      <c r="AF33">
        <v>2.9013330000000002</v>
      </c>
      <c r="AG33">
        <v>2.9866670000000002</v>
      </c>
      <c r="AH33">
        <v>1.792</v>
      </c>
      <c r="AI33">
        <v>3.5840000000000001</v>
      </c>
      <c r="AJ33">
        <v>2.1362359999999998</v>
      </c>
      <c r="AK33">
        <v>1.9626669999999999</v>
      </c>
      <c r="AL33">
        <v>3.0720000000000001</v>
      </c>
      <c r="AM33">
        <v>2.1333329999999999</v>
      </c>
      <c r="AN33">
        <v>2.3039999999999998</v>
      </c>
      <c r="AO33">
        <v>1.6213329999999999</v>
      </c>
      <c r="AP33">
        <v>2.2186669999999999</v>
      </c>
      <c r="AQ33">
        <v>2.1362359999999998</v>
      </c>
      <c r="AR33">
        <v>4.9493330000000002</v>
      </c>
      <c r="AS33">
        <v>1.6213329999999999</v>
      </c>
      <c r="AT33">
        <v>2.3893330000000002</v>
      </c>
      <c r="AU33">
        <v>3.1573329999999999</v>
      </c>
      <c r="AV33">
        <v>4.3520000000000003</v>
      </c>
      <c r="AW33">
        <v>2.56</v>
      </c>
      <c r="AX33">
        <v>3.3279999999999998</v>
      </c>
      <c r="AY33">
        <v>3.9253330000000002</v>
      </c>
      <c r="AZ33">
        <v>1.857596</v>
      </c>
      <c r="BA33">
        <v>3.4133330000000002</v>
      </c>
      <c r="BB33">
        <v>2.3893330000000002</v>
      </c>
      <c r="BC33">
        <v>3.242667</v>
      </c>
      <c r="BD33">
        <v>3.242667</v>
      </c>
      <c r="BE33">
        <v>2.730667</v>
      </c>
      <c r="BF33">
        <v>3.3279999999999998</v>
      </c>
      <c r="BG33">
        <v>2.6453329999999999</v>
      </c>
      <c r="BH33">
        <v>4.4373329999999997</v>
      </c>
      <c r="BI33">
        <v>2.3219949999999998</v>
      </c>
      <c r="BJ33">
        <v>3.1573329999999999</v>
      </c>
      <c r="BK33">
        <v>2.3893330000000002</v>
      </c>
      <c r="CW33" s="1"/>
      <c r="CZ33">
        <f t="shared" si="1"/>
        <v>1.6213329999999999</v>
      </c>
      <c r="DA33" s="9" t="s">
        <v>80</v>
      </c>
    </row>
    <row r="34" spans="1:105" x14ac:dyDescent="0.25">
      <c r="A34" s="1" t="s">
        <v>6</v>
      </c>
      <c r="B34" s="1">
        <v>2.56</v>
      </c>
      <c r="C34" s="1">
        <v>2.9866670000000002</v>
      </c>
      <c r="D34" s="1">
        <v>2.9013330000000002</v>
      </c>
      <c r="E34" s="1">
        <v>2.6453329999999999</v>
      </c>
      <c r="F34" s="1">
        <v>2.4746670000000002</v>
      </c>
      <c r="G34" s="1">
        <v>2.730667</v>
      </c>
      <c r="H34" s="1">
        <v>2.4746670000000002</v>
      </c>
      <c r="I34" s="1">
        <v>2.6453329999999999</v>
      </c>
      <c r="J34" s="1">
        <v>2.3039999999999998</v>
      </c>
      <c r="K34" s="1">
        <v>2.3893330000000002</v>
      </c>
      <c r="L34" s="1">
        <v>4.0106669999999998</v>
      </c>
      <c r="M34" s="1">
        <v>2.1333329999999999</v>
      </c>
      <c r="N34" s="1">
        <v>3.529433</v>
      </c>
      <c r="O34" s="1">
        <v>2.1333329999999999</v>
      </c>
      <c r="P34" s="1">
        <v>2.8792740000000001</v>
      </c>
      <c r="Q34">
        <v>2.9866670000000002</v>
      </c>
      <c r="R34">
        <v>2.730667</v>
      </c>
      <c r="S34">
        <v>2.9866670000000002</v>
      </c>
      <c r="T34">
        <v>2.56</v>
      </c>
      <c r="U34">
        <v>3.754667</v>
      </c>
      <c r="V34">
        <v>2.9866670000000002</v>
      </c>
      <c r="W34">
        <v>3.4133330000000002</v>
      </c>
      <c r="X34">
        <v>3.1573329999999999</v>
      </c>
      <c r="Y34">
        <v>2.8159999999999998</v>
      </c>
      <c r="Z34">
        <v>2.0433560000000002</v>
      </c>
      <c r="AA34">
        <v>2.6453329999999999</v>
      </c>
      <c r="AB34">
        <v>3.84</v>
      </c>
      <c r="AC34">
        <v>2.730667</v>
      </c>
      <c r="AD34">
        <v>5.2012700000000001</v>
      </c>
      <c r="AE34">
        <v>3.9253330000000002</v>
      </c>
      <c r="AF34">
        <v>2.4746670000000002</v>
      </c>
      <c r="AG34">
        <v>4.266667</v>
      </c>
      <c r="AH34">
        <v>2.730667</v>
      </c>
      <c r="AI34">
        <v>2.8159999999999998</v>
      </c>
      <c r="CW34" s="1"/>
      <c r="CZ34">
        <f t="shared" si="1"/>
        <v>2.0433560000000002</v>
      </c>
      <c r="DA34" s="9" t="s">
        <v>86</v>
      </c>
    </row>
    <row r="35" spans="1:10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CW35" s="1"/>
      <c r="DA35" s="9" t="s">
        <v>95</v>
      </c>
    </row>
    <row r="36" spans="1:105" x14ac:dyDescent="0.25">
      <c r="CZ36" s="9">
        <f>MIN(CZ26:CZ35)</f>
        <v>0.37151899999999999</v>
      </c>
    </row>
  </sheetData>
  <mergeCells count="3">
    <mergeCell ref="A2:I2"/>
    <mergeCell ref="A1:O1"/>
    <mergeCell ref="A25:O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8B0C-3226-43DF-996C-0584AEC75D9A}">
  <dimension ref="A1:DA40"/>
  <sheetViews>
    <sheetView topLeftCell="CJ1" workbookViewId="0">
      <selection activeCell="CZ38" sqref="CZ38"/>
    </sheetView>
  </sheetViews>
  <sheetFormatPr defaultRowHeight="15" x14ac:dyDescent="0.25"/>
  <cols>
    <col min="1" max="1" width="29.7109375" customWidth="1"/>
    <col min="104" max="104" width="18.42578125" customWidth="1"/>
    <col min="105" max="105" width="18.28515625" customWidth="1"/>
  </cols>
  <sheetData>
    <row r="1" spans="1:105" ht="26.25" x14ac:dyDescent="0.4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05" ht="24" x14ac:dyDescent="0.4">
      <c r="A2" s="21" t="s">
        <v>67</v>
      </c>
      <c r="B2" s="21"/>
      <c r="C2" s="21"/>
      <c r="D2" s="21"/>
      <c r="E2" s="21"/>
      <c r="F2" s="21"/>
      <c r="G2" s="21"/>
      <c r="H2" s="21"/>
      <c r="I2" s="21"/>
    </row>
    <row r="3" spans="1:105" x14ac:dyDescent="0.25">
      <c r="CZ3" s="9" t="s">
        <v>84</v>
      </c>
      <c r="DA3" s="9" t="s">
        <v>85</v>
      </c>
    </row>
    <row r="4" spans="1:105" x14ac:dyDescent="0.25">
      <c r="A4" s="1" t="s">
        <v>7</v>
      </c>
      <c r="B4" s="1">
        <v>14.675011</v>
      </c>
      <c r="C4" s="1">
        <v>7.7090249999999996</v>
      </c>
      <c r="D4" s="1">
        <v>9.1022219999999994</v>
      </c>
      <c r="E4" s="1">
        <v>10.325333000000001</v>
      </c>
      <c r="F4" s="1">
        <v>7.1680000000000001</v>
      </c>
      <c r="G4" s="1">
        <v>7.765333</v>
      </c>
      <c r="H4" s="1">
        <v>7.1680000000000001</v>
      </c>
      <c r="I4" s="1">
        <v>8.7893329999999992</v>
      </c>
      <c r="J4" s="1">
        <v>10.069333</v>
      </c>
      <c r="K4" s="1">
        <v>4.0106669999999998</v>
      </c>
      <c r="L4" s="1">
        <v>26.111999999999998</v>
      </c>
      <c r="M4" s="1"/>
      <c r="CZ4">
        <f>MAX(B4:CX4)</f>
        <v>26.111999999999998</v>
      </c>
      <c r="DA4" s="9" t="s">
        <v>64</v>
      </c>
    </row>
    <row r="5" spans="1:105" x14ac:dyDescent="0.25">
      <c r="A5" s="1" t="s">
        <v>7</v>
      </c>
      <c r="B5" s="1">
        <v>44.714666999999999</v>
      </c>
      <c r="C5" s="1">
        <v>32</v>
      </c>
      <c r="D5" s="1">
        <v>36.687528</v>
      </c>
      <c r="E5" s="1">
        <v>18.090667</v>
      </c>
      <c r="F5" s="1">
        <v>33.536000000000001</v>
      </c>
      <c r="G5">
        <v>36.522666999999998</v>
      </c>
      <c r="H5">
        <v>39.423999999999999</v>
      </c>
      <c r="I5">
        <v>46.847999999999999</v>
      </c>
      <c r="J5">
        <v>36.351999999999997</v>
      </c>
      <c r="K5">
        <v>44.117333000000002</v>
      </c>
      <c r="L5">
        <v>41.130667000000003</v>
      </c>
      <c r="M5">
        <v>22.271999999999998</v>
      </c>
      <c r="N5">
        <v>31.658667000000001</v>
      </c>
      <c r="O5">
        <v>37.717333000000004</v>
      </c>
      <c r="P5">
        <v>43.776000000000003</v>
      </c>
      <c r="Q5">
        <v>26.197333</v>
      </c>
      <c r="R5">
        <v>31.488</v>
      </c>
      <c r="S5">
        <v>6.1440000000000001</v>
      </c>
      <c r="T5">
        <v>9.1306670000000008</v>
      </c>
      <c r="U5">
        <v>7.1680000000000001</v>
      </c>
      <c r="V5">
        <v>9.8133330000000001</v>
      </c>
      <c r="W5">
        <v>7.9359999999999999</v>
      </c>
      <c r="X5">
        <v>9.8986669999999997</v>
      </c>
      <c r="Y5">
        <v>7.68</v>
      </c>
      <c r="Z5">
        <v>9.5573329999999999</v>
      </c>
      <c r="CZ5">
        <f t="shared" ref="CZ5:CZ12" si="0">MAX(B5:CX5)</f>
        <v>46.847999999999999</v>
      </c>
      <c r="DA5" s="9" t="s">
        <v>75</v>
      </c>
    </row>
    <row r="6" spans="1:105" x14ac:dyDescent="0.25">
      <c r="A6" s="1" t="s">
        <v>7</v>
      </c>
      <c r="B6" s="1">
        <v>15.36</v>
      </c>
      <c r="C6" s="1">
        <v>42.154667000000003</v>
      </c>
      <c r="D6" s="1">
        <v>31.061333000000001</v>
      </c>
      <c r="E6" s="1">
        <v>12.629333000000001</v>
      </c>
      <c r="F6" s="1"/>
      <c r="L6" s="1"/>
      <c r="CZ6">
        <f t="shared" si="0"/>
        <v>42.154667000000003</v>
      </c>
      <c r="DA6" s="9" t="s">
        <v>76</v>
      </c>
    </row>
    <row r="7" spans="1:105" x14ac:dyDescent="0.25">
      <c r="A7" s="1" t="s">
        <v>7</v>
      </c>
      <c r="B7" s="1">
        <v>9.1306670000000008</v>
      </c>
      <c r="C7" s="1">
        <v>7.0826669999999998</v>
      </c>
      <c r="D7" s="1">
        <v>7.1680000000000001</v>
      </c>
      <c r="E7" s="1">
        <v>11.776</v>
      </c>
      <c r="F7" s="1">
        <v>18.090667</v>
      </c>
      <c r="G7">
        <v>12.458667</v>
      </c>
      <c r="H7">
        <v>13.994667</v>
      </c>
      <c r="I7">
        <v>32.085332999999999</v>
      </c>
      <c r="J7">
        <v>42.922666999999997</v>
      </c>
      <c r="K7">
        <v>8.2773330000000005</v>
      </c>
      <c r="L7">
        <v>13.568</v>
      </c>
      <c r="M7">
        <v>9.3866669999999992</v>
      </c>
      <c r="N7">
        <v>8.6186670000000003</v>
      </c>
      <c r="O7">
        <v>34.816000000000003</v>
      </c>
      <c r="P7">
        <v>15.018667000000001</v>
      </c>
      <c r="Q7">
        <v>15.189333</v>
      </c>
      <c r="R7">
        <v>9.3866669999999992</v>
      </c>
      <c r="S7">
        <v>11.605333</v>
      </c>
      <c r="T7">
        <v>7.5232650000000003</v>
      </c>
      <c r="U7">
        <v>26.538667</v>
      </c>
      <c r="V7">
        <v>45.055999999999997</v>
      </c>
      <c r="W7">
        <v>29.781333</v>
      </c>
      <c r="X7">
        <v>33.194667000000003</v>
      </c>
      <c r="Y7">
        <v>9.3866669999999992</v>
      </c>
      <c r="Z7">
        <v>10.752000000000001</v>
      </c>
      <c r="AA7">
        <v>7.3386670000000001</v>
      </c>
      <c r="AB7">
        <v>6.4</v>
      </c>
      <c r="AC7">
        <v>8.3591840000000008</v>
      </c>
      <c r="AD7">
        <v>8.1920000000000002</v>
      </c>
      <c r="AE7">
        <v>8.0805439999999997</v>
      </c>
      <c r="AF7">
        <v>9.3013329999999996</v>
      </c>
      <c r="AG7">
        <v>36.949333000000003</v>
      </c>
      <c r="AH7">
        <v>10.752000000000001</v>
      </c>
      <c r="AI7">
        <v>15.530666999999999</v>
      </c>
      <c r="AM7" s="1"/>
      <c r="CZ7">
        <f t="shared" si="0"/>
        <v>45.055999999999997</v>
      </c>
      <c r="DA7" s="9" t="s">
        <v>77</v>
      </c>
    </row>
    <row r="8" spans="1:105" x14ac:dyDescent="0.25">
      <c r="A8" s="1" t="s">
        <v>7</v>
      </c>
      <c r="B8" s="1">
        <v>5.8879999999999999</v>
      </c>
      <c r="C8" s="1">
        <v>8.3626670000000001</v>
      </c>
      <c r="D8" s="1">
        <v>4.3520000000000003</v>
      </c>
      <c r="E8" s="1">
        <v>5.5466670000000002</v>
      </c>
      <c r="F8" s="1">
        <v>4.693333</v>
      </c>
      <c r="G8">
        <v>4.5226670000000002</v>
      </c>
      <c r="H8">
        <v>11.888617</v>
      </c>
      <c r="I8">
        <v>5.5466670000000002</v>
      </c>
      <c r="J8">
        <v>5.4613329999999998</v>
      </c>
      <c r="K8">
        <v>4.8639999999999999</v>
      </c>
      <c r="L8">
        <v>23.552</v>
      </c>
      <c r="M8">
        <v>4.7786670000000004</v>
      </c>
      <c r="N8">
        <v>5.2053330000000004</v>
      </c>
      <c r="O8">
        <v>8.5333330000000007</v>
      </c>
      <c r="P8">
        <v>8.7040000000000006</v>
      </c>
      <c r="Q8">
        <v>4.1813330000000004</v>
      </c>
      <c r="R8">
        <v>6.2293329999999996</v>
      </c>
      <c r="S8">
        <v>5.290667</v>
      </c>
      <c r="T8">
        <v>8.0213330000000003</v>
      </c>
      <c r="U8">
        <v>4.5226670000000002</v>
      </c>
      <c r="V8">
        <v>22.271999999999998</v>
      </c>
      <c r="W8">
        <v>6.8266669999999996</v>
      </c>
      <c r="X8">
        <v>8.3626670000000001</v>
      </c>
      <c r="Y8">
        <v>5.8879999999999999</v>
      </c>
      <c r="Z8">
        <v>4.0106669999999998</v>
      </c>
      <c r="AA8">
        <v>5.4613329999999998</v>
      </c>
      <c r="AB8">
        <v>5.0346669999999998</v>
      </c>
      <c r="AC8">
        <v>5.290667</v>
      </c>
      <c r="AD8">
        <v>4.8639999999999999</v>
      </c>
      <c r="AE8">
        <v>4.693333</v>
      </c>
      <c r="AF8">
        <v>5.717333</v>
      </c>
      <c r="AG8">
        <v>4.6079999999999997</v>
      </c>
      <c r="AH8">
        <v>5.6319999999999997</v>
      </c>
      <c r="AI8">
        <v>4.266667</v>
      </c>
      <c r="AJ8">
        <v>6.1440000000000001</v>
      </c>
      <c r="AK8">
        <v>4.0106669999999998</v>
      </c>
      <c r="AL8">
        <v>7.4303850000000002</v>
      </c>
      <c r="AM8">
        <v>7.765333</v>
      </c>
      <c r="AN8">
        <v>3.0650339999999998</v>
      </c>
      <c r="AO8" s="1"/>
      <c r="CZ8">
        <f t="shared" si="0"/>
        <v>23.552</v>
      </c>
      <c r="DA8" s="9" t="s">
        <v>78</v>
      </c>
    </row>
    <row r="9" spans="1:105" x14ac:dyDescent="0.25">
      <c r="A9" s="1" t="s">
        <v>7</v>
      </c>
      <c r="B9">
        <v>5.3760000000000003</v>
      </c>
      <c r="C9">
        <v>7.1680000000000001</v>
      </c>
      <c r="D9">
        <v>6.6559999999999997</v>
      </c>
      <c r="J9" s="1"/>
      <c r="CZ9">
        <f t="shared" si="0"/>
        <v>7.1680000000000001</v>
      </c>
      <c r="DA9" s="9" t="s">
        <v>79</v>
      </c>
    </row>
    <row r="10" spans="1:105" x14ac:dyDescent="0.25">
      <c r="A10" s="1" t="s">
        <v>7</v>
      </c>
      <c r="B10">
        <v>32</v>
      </c>
      <c r="C10">
        <v>36.949333000000003</v>
      </c>
      <c r="D10">
        <v>34.304000000000002</v>
      </c>
      <c r="E10">
        <v>42.24</v>
      </c>
      <c r="F10">
        <v>19.968</v>
      </c>
      <c r="G10">
        <v>39.68</v>
      </c>
      <c r="H10">
        <v>27.904</v>
      </c>
      <c r="I10">
        <v>26.453333000000001</v>
      </c>
      <c r="J10">
        <v>26.026667</v>
      </c>
      <c r="K10">
        <v>28.16</v>
      </c>
      <c r="L10">
        <v>29.535782000000001</v>
      </c>
      <c r="M10">
        <v>45.994667</v>
      </c>
      <c r="N10">
        <v>28.330666999999998</v>
      </c>
      <c r="O10">
        <v>25.258666999999999</v>
      </c>
      <c r="P10">
        <v>34.133333</v>
      </c>
      <c r="Q10">
        <v>35.840000000000003</v>
      </c>
      <c r="R10">
        <v>39.850667000000001</v>
      </c>
      <c r="S10">
        <v>37.717333000000004</v>
      </c>
      <c r="T10">
        <v>32.426667000000002</v>
      </c>
      <c r="U10">
        <v>35.584000000000003</v>
      </c>
      <c r="V10">
        <v>28.842666999999999</v>
      </c>
      <c r="W10">
        <v>50.346666999999997</v>
      </c>
      <c r="X10">
        <v>24.661332999999999</v>
      </c>
      <c r="Y10">
        <v>34.086893000000003</v>
      </c>
      <c r="Z10">
        <v>26.453333000000001</v>
      </c>
      <c r="AA10">
        <v>41.898667000000003</v>
      </c>
      <c r="AB10">
        <v>36.693333000000003</v>
      </c>
      <c r="AC10">
        <v>38.997332999999998</v>
      </c>
      <c r="AD10">
        <v>25.856000000000002</v>
      </c>
      <c r="AE10">
        <v>23.808</v>
      </c>
      <c r="AF10">
        <v>33.109332999999999</v>
      </c>
      <c r="AG10">
        <v>31.573333000000002</v>
      </c>
      <c r="AH10">
        <v>31.021858999999999</v>
      </c>
      <c r="AI10">
        <v>40.495601000000001</v>
      </c>
      <c r="AJ10">
        <v>35.665849999999999</v>
      </c>
      <c r="AK10">
        <v>21.248000000000001</v>
      </c>
      <c r="AL10">
        <v>35.157333000000001</v>
      </c>
      <c r="AM10">
        <v>32.170667000000002</v>
      </c>
      <c r="AN10">
        <v>29.226666999999999</v>
      </c>
      <c r="AO10">
        <v>13.824</v>
      </c>
      <c r="AP10">
        <v>16.554666999999998</v>
      </c>
      <c r="AQ10">
        <v>29.269333</v>
      </c>
      <c r="AR10">
        <v>23.808</v>
      </c>
      <c r="AS10">
        <v>15.701333</v>
      </c>
      <c r="AT10">
        <v>21.269478299999999</v>
      </c>
      <c r="AU10">
        <v>23.381333000000001</v>
      </c>
      <c r="AV10">
        <v>31.744</v>
      </c>
      <c r="AW10">
        <v>13.994667</v>
      </c>
      <c r="AX10">
        <v>14.08</v>
      </c>
      <c r="AY10">
        <v>12.032</v>
      </c>
      <c r="AZ10">
        <v>34.474666999999997</v>
      </c>
      <c r="BA10">
        <v>28.245332999999999</v>
      </c>
      <c r="BB10">
        <v>32.768000000000001</v>
      </c>
      <c r="BC10">
        <v>24.576000000000001</v>
      </c>
      <c r="BD10">
        <v>21.418666999999999</v>
      </c>
      <c r="BE10">
        <v>15.701333</v>
      </c>
      <c r="BF10">
        <v>25.941333</v>
      </c>
      <c r="BG10">
        <v>18.346667</v>
      </c>
      <c r="BH10">
        <v>23.808</v>
      </c>
      <c r="BI10">
        <v>32.170667000000002</v>
      </c>
      <c r="BJ10">
        <v>25.344000000000001</v>
      </c>
      <c r="BN10" s="1"/>
      <c r="CZ10">
        <f t="shared" si="0"/>
        <v>50.346666999999997</v>
      </c>
      <c r="DA10" s="9" t="s">
        <v>81</v>
      </c>
    </row>
    <row r="11" spans="1:105" x14ac:dyDescent="0.25">
      <c r="A11" s="1" t="s">
        <v>7</v>
      </c>
      <c r="B11">
        <v>29.952000000000002</v>
      </c>
      <c r="C11">
        <v>20.565332999999999</v>
      </c>
      <c r="CZ11">
        <f t="shared" si="0"/>
        <v>29.952000000000002</v>
      </c>
      <c r="DA11" s="9" t="s">
        <v>80</v>
      </c>
    </row>
    <row r="12" spans="1:105" x14ac:dyDescent="0.25">
      <c r="A12" s="1" t="s">
        <v>7</v>
      </c>
      <c r="B12">
        <v>20.992000000000001</v>
      </c>
      <c r="C12">
        <v>20.053332999999999</v>
      </c>
      <c r="D12">
        <v>20.224</v>
      </c>
      <c r="E12">
        <v>20.565332999999999</v>
      </c>
      <c r="F12">
        <v>18.261333</v>
      </c>
      <c r="G12">
        <v>22.783999999999999</v>
      </c>
      <c r="H12">
        <v>14.933332999999999</v>
      </c>
      <c r="I12">
        <v>16.981332999999999</v>
      </c>
      <c r="J12">
        <v>13.568</v>
      </c>
      <c r="K12">
        <v>24.832000000000001</v>
      </c>
      <c r="L12">
        <v>14.762667</v>
      </c>
      <c r="M12">
        <v>17.749333</v>
      </c>
      <c r="N12">
        <v>15.616</v>
      </c>
      <c r="O12">
        <v>16.981332999999999</v>
      </c>
      <c r="P12">
        <v>16.384</v>
      </c>
      <c r="Q12">
        <v>17.322666999999999</v>
      </c>
      <c r="R12">
        <v>24.576000000000001</v>
      </c>
      <c r="S12">
        <v>31.488</v>
      </c>
      <c r="T12">
        <v>20.48</v>
      </c>
      <c r="U12">
        <v>20.821332999999999</v>
      </c>
      <c r="V12">
        <v>19.876280999999999</v>
      </c>
      <c r="W12">
        <v>25.356190000000002</v>
      </c>
      <c r="X12">
        <v>21.589333</v>
      </c>
      <c r="Y12">
        <v>17.554286000000001</v>
      </c>
      <c r="Z12">
        <v>13.141332999999999</v>
      </c>
      <c r="AA12">
        <v>15.32517</v>
      </c>
      <c r="AB12">
        <v>14.506667</v>
      </c>
      <c r="AC12">
        <v>14.848000000000001</v>
      </c>
      <c r="AD12">
        <v>18.943999999999999</v>
      </c>
      <c r="AE12">
        <v>18.175999999999998</v>
      </c>
      <c r="AF12">
        <v>17.322666999999999</v>
      </c>
      <c r="BN12" s="1"/>
      <c r="CZ12">
        <f t="shared" si="0"/>
        <v>31.488</v>
      </c>
      <c r="DA12" s="9" t="s">
        <v>86</v>
      </c>
    </row>
    <row r="13" spans="1:105" x14ac:dyDescent="0.25">
      <c r="A13" s="1"/>
      <c r="BN13" s="1"/>
      <c r="DA13" s="9" t="s">
        <v>95</v>
      </c>
    </row>
    <row r="14" spans="1:105" x14ac:dyDescent="0.25">
      <c r="CZ14" s="9">
        <f>MAX(CZ4:CZ13)</f>
        <v>50.346666999999997</v>
      </c>
    </row>
    <row r="15" spans="1:10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>
        <f t="shared" ref="CZ15:CZ40" si="1">MAX(B15:CX15)</f>
        <v>0</v>
      </c>
      <c r="DA15" s="12"/>
    </row>
    <row r="16" spans="1:105" x14ac:dyDescent="0.25">
      <c r="CZ16">
        <f t="shared" si="1"/>
        <v>0</v>
      </c>
    </row>
    <row r="17" spans="1:105" x14ac:dyDescent="0.25">
      <c r="CZ17">
        <f t="shared" si="1"/>
        <v>0</v>
      </c>
    </row>
    <row r="18" spans="1:105" x14ac:dyDescent="0.25">
      <c r="CZ18">
        <f t="shared" si="1"/>
        <v>0</v>
      </c>
    </row>
    <row r="19" spans="1:105" x14ac:dyDescent="0.25">
      <c r="CZ19">
        <f t="shared" si="1"/>
        <v>0</v>
      </c>
    </row>
    <row r="20" spans="1:105" x14ac:dyDescent="0.25">
      <c r="CZ20">
        <f t="shared" si="1"/>
        <v>0</v>
      </c>
    </row>
    <row r="21" spans="1:105" x14ac:dyDescent="0.25">
      <c r="CZ21">
        <f t="shared" si="1"/>
        <v>0</v>
      </c>
    </row>
    <row r="22" spans="1:105" x14ac:dyDescent="0.25">
      <c r="A22" t="s">
        <v>73</v>
      </c>
      <c r="CZ22">
        <f t="shared" si="1"/>
        <v>0</v>
      </c>
    </row>
    <row r="23" spans="1:105" x14ac:dyDescent="0.25">
      <c r="CZ23">
        <f t="shared" si="1"/>
        <v>0</v>
      </c>
    </row>
    <row r="24" spans="1:105" x14ac:dyDescent="0.25">
      <c r="CZ24">
        <f t="shared" si="1"/>
        <v>0</v>
      </c>
    </row>
    <row r="25" spans="1:105" x14ac:dyDescent="0.25">
      <c r="CZ25">
        <f t="shared" si="1"/>
        <v>0</v>
      </c>
    </row>
    <row r="26" spans="1:105" x14ac:dyDescent="0.25">
      <c r="CZ26">
        <f t="shared" si="1"/>
        <v>0</v>
      </c>
    </row>
    <row r="27" spans="1:105" ht="26.25" x14ac:dyDescent="0.4">
      <c r="A27" s="22" t="s">
        <v>70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CZ27">
        <f t="shared" si="1"/>
        <v>0</v>
      </c>
    </row>
    <row r="28" spans="1:105" x14ac:dyDescent="0.25">
      <c r="A28" s="1" t="s">
        <v>7</v>
      </c>
      <c r="B28" s="1">
        <v>13.560454</v>
      </c>
      <c r="C28" s="1">
        <v>11.007999999999999</v>
      </c>
      <c r="D28" s="1">
        <v>21.589333</v>
      </c>
      <c r="E28" s="1">
        <v>16.810666999999999</v>
      </c>
      <c r="F28" s="1">
        <v>37.546666999999999</v>
      </c>
      <c r="G28" s="1">
        <v>33.792000000000002</v>
      </c>
      <c r="H28" s="1">
        <v>48.896000000000001</v>
      </c>
      <c r="I28" s="1">
        <v>20.992000000000001</v>
      </c>
      <c r="J28" s="1">
        <v>23.552</v>
      </c>
      <c r="K28" s="1">
        <v>38.730884000000003</v>
      </c>
      <c r="L28" s="1">
        <v>23.210667000000001</v>
      </c>
      <c r="M28" s="1"/>
      <c r="CZ28">
        <f t="shared" si="1"/>
        <v>48.896000000000001</v>
      </c>
      <c r="DA28" s="9" t="s">
        <v>64</v>
      </c>
    </row>
    <row r="29" spans="1:105" x14ac:dyDescent="0.25">
      <c r="A29" s="1" t="s">
        <v>7</v>
      </c>
      <c r="B29" s="1">
        <v>47.090068000000002</v>
      </c>
      <c r="C29" s="1">
        <v>11.007999999999999</v>
      </c>
      <c r="D29" s="1">
        <v>17.461406</v>
      </c>
      <c r="E29" s="1">
        <v>45.482666999999999</v>
      </c>
      <c r="F29" s="1">
        <v>29.696000000000002</v>
      </c>
      <c r="G29" s="1">
        <v>21.589333</v>
      </c>
      <c r="H29" s="1">
        <v>36.010666999999998</v>
      </c>
      <c r="I29" s="1">
        <v>27.477333000000002</v>
      </c>
      <c r="J29" s="1">
        <v>32.256</v>
      </c>
      <c r="K29" s="1">
        <v>54.891973</v>
      </c>
      <c r="L29" s="1">
        <v>19.712</v>
      </c>
      <c r="M29" s="1">
        <v>20.736000000000001</v>
      </c>
      <c r="N29" s="1">
        <v>24.405332999999999</v>
      </c>
      <c r="O29" s="1">
        <v>26.111999999999998</v>
      </c>
      <c r="P29" s="1">
        <v>25.088000000000001</v>
      </c>
      <c r="Q29" s="1">
        <v>23.466667000000001</v>
      </c>
      <c r="R29" s="1">
        <v>25.770667</v>
      </c>
      <c r="S29" s="1">
        <v>25.002666999999999</v>
      </c>
      <c r="T29" s="1">
        <v>39.253332999999998</v>
      </c>
      <c r="U29" s="1">
        <v>20.906666999999999</v>
      </c>
      <c r="V29" s="1"/>
      <c r="CZ29">
        <f t="shared" si="1"/>
        <v>54.891973</v>
      </c>
      <c r="DA29" s="9" t="s">
        <v>75</v>
      </c>
    </row>
    <row r="30" spans="1:105" x14ac:dyDescent="0.25">
      <c r="A30" s="1" t="s">
        <v>7</v>
      </c>
      <c r="B30" s="1">
        <v>29.610666999999999</v>
      </c>
      <c r="CZ30">
        <f t="shared" si="1"/>
        <v>29.610666999999999</v>
      </c>
      <c r="DA30" s="9" t="s">
        <v>76</v>
      </c>
    </row>
    <row r="31" spans="1:105" x14ac:dyDescent="0.25">
      <c r="A31" s="1" t="s">
        <v>7</v>
      </c>
      <c r="B31" s="1">
        <v>17.749333</v>
      </c>
      <c r="C31" s="1">
        <v>14.165333</v>
      </c>
      <c r="D31" s="1">
        <v>17.834667</v>
      </c>
      <c r="E31" s="1">
        <v>9.4719999999999995</v>
      </c>
      <c r="F31" s="1">
        <v>23.04</v>
      </c>
      <c r="G31" s="1">
        <v>29.610666999999999</v>
      </c>
      <c r="H31" s="1">
        <v>31.231999999999999</v>
      </c>
      <c r="I31" s="1">
        <v>14.08</v>
      </c>
      <c r="J31" s="1">
        <v>36.266666999999998</v>
      </c>
      <c r="K31" s="1">
        <v>21.845333</v>
      </c>
      <c r="L31" s="1">
        <v>19.370667000000001</v>
      </c>
      <c r="M31" s="1">
        <v>31.658667000000001</v>
      </c>
      <c r="N31" s="1">
        <v>15.103999999999999</v>
      </c>
      <c r="O31" s="1">
        <v>31.658667000000001</v>
      </c>
      <c r="P31" s="1">
        <v>27.050667000000001</v>
      </c>
      <c r="Q31">
        <v>32.512</v>
      </c>
      <c r="R31">
        <v>40.448</v>
      </c>
      <c r="S31">
        <v>20.565332999999999</v>
      </c>
      <c r="T31">
        <v>29.013332999999999</v>
      </c>
      <c r="U31">
        <v>41.728000000000002</v>
      </c>
      <c r="V31">
        <v>8.1066669999999998</v>
      </c>
      <c r="W31">
        <v>30.463999999999999</v>
      </c>
      <c r="X31">
        <v>20.309332999999999</v>
      </c>
      <c r="Y31">
        <v>9.8986669999999997</v>
      </c>
      <c r="Z31">
        <v>11.888617</v>
      </c>
      <c r="AA31">
        <v>14.250667</v>
      </c>
      <c r="AB31">
        <v>9.7279999999999998</v>
      </c>
      <c r="AC31">
        <v>9.8133330000000001</v>
      </c>
      <c r="AD31">
        <v>25.685333</v>
      </c>
      <c r="AE31">
        <v>9.8133330000000001</v>
      </c>
      <c r="AF31">
        <v>22.869333000000001</v>
      </c>
      <c r="AG31">
        <v>9.8133330000000001</v>
      </c>
      <c r="AH31">
        <v>22.271999999999998</v>
      </c>
      <c r="AI31">
        <v>33.792000000000002</v>
      </c>
      <c r="AJ31">
        <v>53.418666999999999</v>
      </c>
      <c r="AK31">
        <v>10.325333000000001</v>
      </c>
      <c r="AL31">
        <v>25.088000000000001</v>
      </c>
      <c r="AM31">
        <v>24.148752999999999</v>
      </c>
      <c r="AN31">
        <v>14.848000000000001</v>
      </c>
      <c r="AO31">
        <v>13.311999999999999</v>
      </c>
      <c r="AP31">
        <v>11.007999999999999</v>
      </c>
      <c r="AQ31">
        <v>10.069333</v>
      </c>
      <c r="AR31">
        <v>45.789751000000003</v>
      </c>
      <c r="AS31">
        <v>36.522666999999998</v>
      </c>
      <c r="AT31">
        <v>8.1066669999999998</v>
      </c>
      <c r="AU31">
        <v>15.701333</v>
      </c>
      <c r="AV31">
        <v>32.229297000000003</v>
      </c>
      <c r="AW31">
        <v>38.997332999999998</v>
      </c>
      <c r="AX31">
        <v>29.013332999999999</v>
      </c>
      <c r="AY31">
        <v>76.885333000000003</v>
      </c>
      <c r="CZ31">
        <f t="shared" si="1"/>
        <v>76.885333000000003</v>
      </c>
      <c r="DA31" s="9" t="s">
        <v>77</v>
      </c>
    </row>
    <row r="32" spans="1:105" x14ac:dyDescent="0.25">
      <c r="A32" s="1" t="s">
        <v>7</v>
      </c>
      <c r="B32" s="1">
        <v>15.36</v>
      </c>
      <c r="C32" s="1">
        <v>20.565332999999999</v>
      </c>
      <c r="D32" s="1">
        <v>24.32</v>
      </c>
      <c r="E32" s="1">
        <v>25.941333</v>
      </c>
      <c r="F32" s="1">
        <v>20.394666999999998</v>
      </c>
      <c r="G32" s="1">
        <v>23.125333000000001</v>
      </c>
      <c r="H32" s="1">
        <v>16.384</v>
      </c>
      <c r="I32" s="1">
        <v>32.682667000000002</v>
      </c>
      <c r="J32" s="1">
        <v>18.602667</v>
      </c>
      <c r="K32" s="1">
        <v>14.677333000000001</v>
      </c>
      <c r="L32" s="1">
        <v>15.786667</v>
      </c>
      <c r="M32" s="1">
        <v>21.548117999999999</v>
      </c>
      <c r="N32" s="1">
        <v>16.981332999999999</v>
      </c>
      <c r="O32" s="1">
        <v>15.018667000000001</v>
      </c>
      <c r="P32" s="1">
        <v>16.981332999999999</v>
      </c>
      <c r="Q32">
        <v>15.872</v>
      </c>
      <c r="R32">
        <v>21.589333</v>
      </c>
      <c r="S32">
        <v>14.848000000000001</v>
      </c>
      <c r="T32">
        <v>17.152000000000001</v>
      </c>
      <c r="U32">
        <v>25.429333</v>
      </c>
      <c r="V32">
        <v>18.943999999999999</v>
      </c>
      <c r="W32">
        <v>33.450667000000003</v>
      </c>
      <c r="X32">
        <v>58.368000000000002</v>
      </c>
      <c r="Y32">
        <v>19.968</v>
      </c>
      <c r="Z32">
        <v>14.08</v>
      </c>
      <c r="AA32">
        <v>19.876280999999999</v>
      </c>
      <c r="AB32">
        <v>19.626667000000001</v>
      </c>
      <c r="AC32">
        <v>18.773333000000001</v>
      </c>
      <c r="AD32">
        <v>27.904</v>
      </c>
      <c r="AE32">
        <v>19.114667000000001</v>
      </c>
      <c r="AF32">
        <v>18.687999999999999</v>
      </c>
      <c r="AG32">
        <v>22.357333000000001</v>
      </c>
      <c r="AH32">
        <v>26.538667</v>
      </c>
      <c r="AI32">
        <v>36.693333000000003</v>
      </c>
      <c r="AJ32">
        <v>37.973332999999997</v>
      </c>
      <c r="AK32">
        <v>23.978667000000002</v>
      </c>
      <c r="AL32">
        <v>28.928000000000001</v>
      </c>
      <c r="AM32">
        <v>10.922667000000001</v>
      </c>
      <c r="AN32">
        <v>25.514666999999999</v>
      </c>
      <c r="AO32">
        <v>21.362358</v>
      </c>
      <c r="AP32">
        <v>22.698667</v>
      </c>
      <c r="AQ32">
        <v>24.149332999999999</v>
      </c>
      <c r="AR32">
        <v>19.968</v>
      </c>
      <c r="AS32">
        <v>13.738667</v>
      </c>
      <c r="AT32">
        <v>10.496</v>
      </c>
      <c r="AU32">
        <v>29.184000000000001</v>
      </c>
      <c r="AV32">
        <v>13.141332999999999</v>
      </c>
      <c r="AW32">
        <v>27.904</v>
      </c>
      <c r="AX32">
        <v>22.101333</v>
      </c>
      <c r="AY32">
        <v>30.037333</v>
      </c>
      <c r="AZ32">
        <v>26.709333000000001</v>
      </c>
      <c r="BA32">
        <v>19.712</v>
      </c>
      <c r="BB32">
        <v>22.442667</v>
      </c>
      <c r="BC32">
        <v>26.965333000000001</v>
      </c>
      <c r="BD32">
        <v>16.469332999999999</v>
      </c>
      <c r="BE32">
        <v>34.56</v>
      </c>
      <c r="BF32">
        <v>22.698667</v>
      </c>
      <c r="BI32" s="1"/>
      <c r="BJ32" s="1"/>
      <c r="CZ32">
        <f t="shared" si="1"/>
        <v>58.368000000000002</v>
      </c>
      <c r="DA32" s="9" t="s">
        <v>78</v>
      </c>
    </row>
    <row r="33" spans="1:105" x14ac:dyDescent="0.25">
      <c r="A33" s="1" t="s">
        <v>7</v>
      </c>
      <c r="B33" s="1">
        <v>19.541333000000002</v>
      </c>
      <c r="C33" s="1">
        <v>18.687999999999999</v>
      </c>
      <c r="D33" s="1">
        <v>21.504000000000001</v>
      </c>
      <c r="E33" s="1">
        <v>30.72</v>
      </c>
      <c r="F33" s="1">
        <v>18.090667</v>
      </c>
      <c r="G33" s="1">
        <v>17.749333</v>
      </c>
      <c r="H33" s="1">
        <v>21.76</v>
      </c>
      <c r="I33" s="1">
        <v>20.394666999999998</v>
      </c>
      <c r="J33" s="1">
        <v>28.416</v>
      </c>
      <c r="K33" s="1">
        <v>20.736000000000001</v>
      </c>
      <c r="L33" s="1">
        <v>20.650666999999999</v>
      </c>
      <c r="M33" s="1">
        <v>28.074667000000002</v>
      </c>
      <c r="N33" s="1">
        <v>19.370667000000001</v>
      </c>
      <c r="O33" s="1">
        <v>19.882667000000001</v>
      </c>
      <c r="P33" s="1">
        <v>25.941333</v>
      </c>
      <c r="Q33">
        <v>37.375999999999998</v>
      </c>
      <c r="R33">
        <v>16.298666999999998</v>
      </c>
      <c r="S33">
        <v>26.111999999999998</v>
      </c>
      <c r="T33">
        <v>15.616</v>
      </c>
      <c r="U33">
        <v>42.074558000000003</v>
      </c>
      <c r="V33">
        <v>24.576000000000001</v>
      </c>
      <c r="W33">
        <v>19.626667000000001</v>
      </c>
      <c r="X33">
        <v>25.856000000000002</v>
      </c>
      <c r="Y33">
        <v>23.552</v>
      </c>
      <c r="Z33">
        <v>23.893332999999998</v>
      </c>
      <c r="AA33">
        <v>23.04</v>
      </c>
      <c r="AB33">
        <v>23.295999999999999</v>
      </c>
      <c r="AC33">
        <v>21.248000000000001</v>
      </c>
      <c r="AD33">
        <v>22.357333000000001</v>
      </c>
      <c r="AE33">
        <v>11.690666999999999</v>
      </c>
      <c r="AF33">
        <v>16.981332999999999</v>
      </c>
      <c r="AG33">
        <v>19.2</v>
      </c>
      <c r="AH33">
        <v>24.234667000000002</v>
      </c>
      <c r="AI33">
        <v>27.135999999999999</v>
      </c>
      <c r="AJ33">
        <v>22.357333000000001</v>
      </c>
      <c r="AK33">
        <v>24.149332999999999</v>
      </c>
      <c r="AL33">
        <v>22.527999999999999</v>
      </c>
      <c r="AM33">
        <v>26.282667</v>
      </c>
      <c r="AN33">
        <v>19.370667000000001</v>
      </c>
      <c r="AO33">
        <v>26.623999999999999</v>
      </c>
      <c r="AP33">
        <v>24.832000000000001</v>
      </c>
      <c r="AQ33">
        <v>19.114667000000001</v>
      </c>
      <c r="AR33">
        <v>25.258666999999999</v>
      </c>
      <c r="AS33">
        <v>17.152000000000001</v>
      </c>
      <c r="AT33">
        <v>19.114667000000001</v>
      </c>
      <c r="AU33">
        <v>30.093060999999999</v>
      </c>
      <c r="AV33">
        <v>25.856000000000002</v>
      </c>
      <c r="AW33">
        <v>24.576000000000001</v>
      </c>
      <c r="AX33">
        <v>18.261333</v>
      </c>
      <c r="AY33">
        <v>16.725332999999999</v>
      </c>
      <c r="AZ33">
        <v>26.453333000000001</v>
      </c>
      <c r="BA33">
        <v>20.309332999999999</v>
      </c>
      <c r="BB33">
        <v>21.76</v>
      </c>
      <c r="BC33">
        <v>25.002666999999999</v>
      </c>
      <c r="BD33">
        <v>17.834667</v>
      </c>
      <c r="BE33">
        <v>24.064</v>
      </c>
      <c r="BF33">
        <v>25.088000000000001</v>
      </c>
      <c r="BG33">
        <v>27.733332999999998</v>
      </c>
      <c r="BH33">
        <v>27.492425999999998</v>
      </c>
      <c r="BI33">
        <v>28.16</v>
      </c>
      <c r="BJ33">
        <v>19.029333000000001</v>
      </c>
      <c r="BK33">
        <v>27.818667000000001</v>
      </c>
      <c r="BL33">
        <v>21.333333</v>
      </c>
      <c r="BM33">
        <v>29.442902</v>
      </c>
      <c r="BN33">
        <v>20.138667000000002</v>
      </c>
      <c r="BO33">
        <v>22.869333000000001</v>
      </c>
      <c r="BP33">
        <v>20.992000000000001</v>
      </c>
      <c r="BQ33">
        <v>23.808</v>
      </c>
      <c r="BR33">
        <v>22.954667000000001</v>
      </c>
      <c r="BS33">
        <v>17.066666999999999</v>
      </c>
      <c r="BT33">
        <v>22.442667</v>
      </c>
      <c r="BU33">
        <v>13.568</v>
      </c>
      <c r="BV33">
        <v>21.845333</v>
      </c>
      <c r="BW33">
        <v>20.309332999999999</v>
      </c>
      <c r="BX33">
        <v>31.764897999999999</v>
      </c>
      <c r="BY33">
        <v>19.797332999999998</v>
      </c>
      <c r="BZ33">
        <v>21.589333</v>
      </c>
      <c r="CA33">
        <v>22.783999999999999</v>
      </c>
      <c r="CB33">
        <v>23.295999999999999</v>
      </c>
      <c r="CC33">
        <v>25.6</v>
      </c>
      <c r="CD33">
        <v>19.541333000000002</v>
      </c>
      <c r="CE33">
        <v>24.661332999999999</v>
      </c>
      <c r="CF33">
        <v>20.309332999999999</v>
      </c>
      <c r="CG33">
        <v>20.138667000000002</v>
      </c>
      <c r="CH33">
        <v>16.981332999999999</v>
      </c>
      <c r="CI33">
        <v>33.536000000000001</v>
      </c>
      <c r="CJ33">
        <v>18.431999999999999</v>
      </c>
      <c r="CK33">
        <v>20.138667000000002</v>
      </c>
      <c r="CL33">
        <v>35.669333000000002</v>
      </c>
      <c r="CM33">
        <v>25.088000000000001</v>
      </c>
      <c r="CN33">
        <v>13.738667</v>
      </c>
      <c r="CO33">
        <v>20.340679999999999</v>
      </c>
      <c r="CP33">
        <v>18.773333000000001</v>
      </c>
      <c r="CQ33">
        <v>25.514666999999999</v>
      </c>
      <c r="CR33">
        <v>18.858667000000001</v>
      </c>
      <c r="CS33">
        <v>21.674666999999999</v>
      </c>
      <c r="CW33" s="1"/>
      <c r="CZ33">
        <f t="shared" si="1"/>
        <v>42.074558000000003</v>
      </c>
      <c r="DA33" s="9" t="s">
        <v>79</v>
      </c>
    </row>
    <row r="34" spans="1:105" x14ac:dyDescent="0.25">
      <c r="A34" s="1" t="s">
        <v>7</v>
      </c>
      <c r="B34" s="1">
        <v>23.04</v>
      </c>
      <c r="C34" s="1">
        <v>30.463999999999999</v>
      </c>
      <c r="D34" s="1">
        <v>23.466667000000001</v>
      </c>
      <c r="E34" s="1">
        <v>23.125333000000001</v>
      </c>
      <c r="F34" s="1">
        <v>14.848000000000001</v>
      </c>
      <c r="G34" s="1">
        <v>22.357333000000001</v>
      </c>
      <c r="H34" s="1">
        <v>20.906666999999999</v>
      </c>
      <c r="I34" s="1">
        <v>19.626667000000001</v>
      </c>
      <c r="J34" s="1">
        <v>16.810666999999999</v>
      </c>
      <c r="K34" s="1">
        <v>21.504000000000001</v>
      </c>
      <c r="L34" s="1">
        <v>18.431999999999999</v>
      </c>
      <c r="M34" s="1">
        <v>15.616</v>
      </c>
      <c r="N34" s="1">
        <v>23.466667000000001</v>
      </c>
      <c r="O34" s="1">
        <v>23.808</v>
      </c>
      <c r="P34" s="1">
        <v>34.645333000000001</v>
      </c>
      <c r="Q34">
        <v>42.496000000000002</v>
      </c>
      <c r="R34">
        <v>25.002666999999999</v>
      </c>
      <c r="S34">
        <v>39.850667000000001</v>
      </c>
      <c r="T34">
        <v>25.685333</v>
      </c>
      <c r="U34">
        <v>17.408000000000001</v>
      </c>
      <c r="V34">
        <v>22.476915999999999</v>
      </c>
      <c r="W34">
        <v>26.284988999999999</v>
      </c>
      <c r="X34">
        <v>28.757332999999999</v>
      </c>
      <c r="Y34">
        <v>27.562667000000001</v>
      </c>
      <c r="Z34">
        <v>30.463999999999999</v>
      </c>
      <c r="AA34">
        <v>17.237333</v>
      </c>
      <c r="AB34">
        <v>46.847999999999999</v>
      </c>
      <c r="AC34">
        <v>30.463999999999999</v>
      </c>
      <c r="AD34">
        <v>21.362358</v>
      </c>
      <c r="AE34">
        <v>44.970666999999999</v>
      </c>
      <c r="AF34">
        <v>25.002666999999999</v>
      </c>
      <c r="AG34">
        <v>25.002666999999999</v>
      </c>
      <c r="AH34">
        <v>22.271999999999998</v>
      </c>
      <c r="AI34">
        <v>26.453333000000001</v>
      </c>
      <c r="AJ34">
        <v>17.557333</v>
      </c>
      <c r="AK34">
        <v>22.613333000000001</v>
      </c>
      <c r="AL34">
        <v>53.247999999999998</v>
      </c>
      <c r="AM34">
        <v>21.909333</v>
      </c>
      <c r="AN34">
        <v>22.869333000000001</v>
      </c>
      <c r="AO34">
        <v>27.221333000000001</v>
      </c>
      <c r="AP34">
        <v>28.16</v>
      </c>
      <c r="AQ34">
        <v>46.335999999999999</v>
      </c>
      <c r="AR34">
        <v>39.68</v>
      </c>
      <c r="AS34">
        <v>20.821332999999999</v>
      </c>
      <c r="AT34">
        <v>38.229332999999997</v>
      </c>
      <c r="AU34">
        <v>19.882667000000001</v>
      </c>
      <c r="AV34">
        <v>19.2</v>
      </c>
      <c r="CW34" s="1"/>
      <c r="CZ34">
        <f t="shared" si="1"/>
        <v>53.247999999999998</v>
      </c>
      <c r="DA34" s="9" t="s">
        <v>81</v>
      </c>
    </row>
    <row r="35" spans="1:105" x14ac:dyDescent="0.25">
      <c r="A35" s="1" t="s">
        <v>7</v>
      </c>
      <c r="B35" s="1">
        <v>47.445332999999998</v>
      </c>
      <c r="C35" s="1">
        <v>28.586666999999998</v>
      </c>
      <c r="D35" s="1">
        <v>26.88</v>
      </c>
      <c r="E35" s="1">
        <v>18.431999999999999</v>
      </c>
      <c r="F35" s="1">
        <v>25.6</v>
      </c>
      <c r="G35" s="1">
        <v>19.285333000000001</v>
      </c>
      <c r="H35" s="1">
        <v>25.941333</v>
      </c>
      <c r="I35" s="1">
        <v>21.248000000000001</v>
      </c>
      <c r="J35" s="1">
        <v>31.061333000000001</v>
      </c>
      <c r="K35" s="1">
        <v>32.170667000000002</v>
      </c>
      <c r="L35" s="1">
        <v>24.32</v>
      </c>
      <c r="M35" s="1">
        <v>72.632018000000002</v>
      </c>
      <c r="N35" s="1">
        <v>33.450667000000003</v>
      </c>
      <c r="O35" s="1">
        <v>83.712000000000003</v>
      </c>
      <c r="P35" s="1">
        <v>17.664000000000001</v>
      </c>
      <c r="Q35">
        <v>25.173333</v>
      </c>
      <c r="R35">
        <v>36.095999999999997</v>
      </c>
      <c r="S35">
        <v>32.853332999999999</v>
      </c>
      <c r="T35">
        <v>24.064</v>
      </c>
      <c r="U35">
        <v>26.88</v>
      </c>
      <c r="V35">
        <v>21.504000000000001</v>
      </c>
      <c r="W35">
        <v>14.08</v>
      </c>
      <c r="X35">
        <v>21.248000000000001</v>
      </c>
      <c r="Y35">
        <v>20.48</v>
      </c>
      <c r="Z35">
        <v>54.698667</v>
      </c>
      <c r="AA35">
        <v>24.984670999999999</v>
      </c>
      <c r="AB35">
        <v>21.418666999999999</v>
      </c>
      <c r="AC35">
        <v>19.690522000000001</v>
      </c>
      <c r="AD35">
        <v>21.674666999999999</v>
      </c>
      <c r="AE35">
        <v>16.469332999999999</v>
      </c>
      <c r="AF35">
        <v>29.696000000000002</v>
      </c>
      <c r="AG35">
        <v>27.904</v>
      </c>
      <c r="AH35">
        <v>21.077332999999999</v>
      </c>
      <c r="AI35">
        <v>32.170667000000002</v>
      </c>
      <c r="AJ35">
        <v>24.427392000000001</v>
      </c>
      <c r="AK35">
        <v>16.469332999999999</v>
      </c>
      <c r="AL35">
        <v>19.882667000000001</v>
      </c>
      <c r="AM35">
        <v>47.701332999999998</v>
      </c>
      <c r="AN35">
        <v>21.162666999999999</v>
      </c>
      <c r="AO35">
        <v>20.138667000000002</v>
      </c>
      <c r="AP35">
        <v>25.770667</v>
      </c>
      <c r="AQ35">
        <v>22.755555999999999</v>
      </c>
      <c r="AR35">
        <v>50.688000000000002</v>
      </c>
      <c r="AS35">
        <v>17.152000000000001</v>
      </c>
      <c r="AT35">
        <v>28.330666999999998</v>
      </c>
      <c r="AU35">
        <v>47.872</v>
      </c>
      <c r="AV35">
        <v>38.058667</v>
      </c>
      <c r="AW35">
        <v>23.466667000000001</v>
      </c>
      <c r="AX35">
        <v>17.493333</v>
      </c>
      <c r="AY35">
        <v>45.311999999999998</v>
      </c>
      <c r="AZ35">
        <v>23.405714</v>
      </c>
      <c r="BA35">
        <v>27.989332999999998</v>
      </c>
      <c r="BB35">
        <v>24.576000000000001</v>
      </c>
      <c r="BC35">
        <v>29.952000000000002</v>
      </c>
      <c r="BD35">
        <v>31.744</v>
      </c>
      <c r="BE35">
        <v>25.344000000000001</v>
      </c>
      <c r="BF35">
        <v>27.562667000000001</v>
      </c>
      <c r="BG35">
        <v>42.752000000000002</v>
      </c>
      <c r="BH35">
        <v>29.013332999999999</v>
      </c>
      <c r="BI35">
        <v>42.167437999999997</v>
      </c>
      <c r="BJ35">
        <v>25.685333</v>
      </c>
      <c r="BK35">
        <v>22.015999999999998</v>
      </c>
      <c r="CW35" s="1"/>
      <c r="CZ35">
        <f t="shared" si="1"/>
        <v>83.712000000000003</v>
      </c>
      <c r="DA35" s="9" t="s">
        <v>80</v>
      </c>
    </row>
    <row r="36" spans="1:105" x14ac:dyDescent="0.25">
      <c r="A36" s="1" t="s">
        <v>7</v>
      </c>
      <c r="B36" s="1">
        <v>28.928000000000001</v>
      </c>
      <c r="C36" s="1">
        <v>43.008000000000003</v>
      </c>
      <c r="D36" s="1">
        <v>25.429333</v>
      </c>
      <c r="E36" s="1">
        <v>39.936</v>
      </c>
      <c r="F36" s="1">
        <v>30.549333000000001</v>
      </c>
      <c r="G36" s="1">
        <v>25.088000000000001</v>
      </c>
      <c r="H36" s="1">
        <v>22.015999999999998</v>
      </c>
      <c r="I36" s="1">
        <v>18.687999999999999</v>
      </c>
      <c r="J36" s="1">
        <v>28.330666999999998</v>
      </c>
      <c r="K36" s="1">
        <v>18.943999999999999</v>
      </c>
      <c r="L36" s="1">
        <v>28.245332999999999</v>
      </c>
      <c r="M36" s="1">
        <v>26.026667</v>
      </c>
      <c r="N36" s="1">
        <v>30.371701000000002</v>
      </c>
      <c r="O36" s="1">
        <v>31.231999999999999</v>
      </c>
      <c r="P36" s="1">
        <v>23.034195</v>
      </c>
      <c r="Q36">
        <v>28.757332999999999</v>
      </c>
      <c r="R36">
        <v>28.586666999999998</v>
      </c>
      <c r="S36">
        <v>34.218667000000003</v>
      </c>
      <c r="T36">
        <v>20.736000000000001</v>
      </c>
      <c r="U36">
        <v>22.613333000000001</v>
      </c>
      <c r="V36">
        <v>33.194667000000003</v>
      </c>
      <c r="W36">
        <v>32.341332999999999</v>
      </c>
      <c r="X36">
        <v>26.367999999999999</v>
      </c>
      <c r="Y36">
        <v>36.949333000000003</v>
      </c>
      <c r="Z36">
        <v>31.393378999999999</v>
      </c>
      <c r="AA36">
        <v>33.877333</v>
      </c>
      <c r="AB36">
        <v>23.637333000000002</v>
      </c>
      <c r="AC36">
        <v>16.469332999999999</v>
      </c>
      <c r="AD36">
        <v>42.724716999999998</v>
      </c>
      <c r="AE36">
        <v>19.882667000000001</v>
      </c>
      <c r="AF36">
        <v>34.816000000000003</v>
      </c>
      <c r="AG36">
        <v>25.002666999999999</v>
      </c>
      <c r="AH36">
        <v>25.088000000000001</v>
      </c>
      <c r="AI36">
        <v>33.706667000000003</v>
      </c>
      <c r="CW36" s="1"/>
      <c r="CZ36">
        <f t="shared" si="1"/>
        <v>43.008000000000003</v>
      </c>
      <c r="DA36" s="9" t="s">
        <v>86</v>
      </c>
    </row>
    <row r="37" spans="1:10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CW37" s="1"/>
      <c r="DA37" s="9" t="s">
        <v>95</v>
      </c>
    </row>
    <row r="38" spans="1:105" x14ac:dyDescent="0.25">
      <c r="CZ38" s="9">
        <f>MAX(CZ28:CZ37)</f>
        <v>83.712000000000003</v>
      </c>
    </row>
    <row r="39" spans="1:105" x14ac:dyDescent="0.25">
      <c r="CZ39">
        <f t="shared" si="1"/>
        <v>0</v>
      </c>
    </row>
    <row r="40" spans="1:105" x14ac:dyDescent="0.25">
      <c r="CZ40">
        <f t="shared" si="1"/>
        <v>0</v>
      </c>
    </row>
  </sheetData>
  <mergeCells count="3">
    <mergeCell ref="A2:I2"/>
    <mergeCell ref="A1:O1"/>
    <mergeCell ref="A27:O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ALL_STAT_ALL_INST</vt:lpstr>
      <vt:lpstr>ALL_STAT_PER_INST_TOTAL_EACH</vt:lpstr>
      <vt:lpstr>Texts_Info</vt:lpstr>
      <vt:lpstr>GEN_PER_INST_INFO</vt:lpstr>
      <vt:lpstr>PH_PER_INST_INFO</vt:lpstr>
      <vt:lpstr>Audio_Info</vt:lpstr>
      <vt:lpstr>CMIN_S_G&amp;PH</vt:lpstr>
      <vt:lpstr>CMAX_S_G&amp;PH</vt:lpstr>
      <vt:lpstr>CMIN_T_G&amp;PH</vt:lpstr>
      <vt:lpstr>CMAX_T_G&amp;PH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2026-03-30T20:23:10Z</dcterms:created>
  <dcterms:modified xsi:type="dcterms:W3CDTF">2026-09-03T00:56:01Z</dcterms:modified>
</cp:coreProperties>
</file>